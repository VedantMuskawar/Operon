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<sst xmlns="http://schemas.openxmlformats.org/spreadsheetml/2006/main" uniqueCount="637">
  <si>
    <t>DATE</t>
  </si>
  <si>
    <t>DM_NO</t>
  </si>
  <si>
    <t>Product</t>
  </si>
  <si>
    <t>Quantity</t>
  </si>
  <si>
    <t>Unit</t>
  </si>
  <si>
    <t>VehicleNO</t>
  </si>
  <si>
    <t>CLIENT</t>
  </si>
  <si>
    <t>CASH SALE</t>
  </si>
  <si>
    <r>
      <rPr>
        <sz val="12"/>
        <color indexed="8"/>
        <rFont val="Times New Roman"/>
      </rPr>
      <t>CASH SALE</t>
    </r>
  </si>
  <si>
    <t>BRICK</t>
  </si>
  <si>
    <r>
      <rPr>
        <sz val="12"/>
        <color indexed="8"/>
        <rFont val="Courier New"/>
      </rPr>
      <t>SANTOSH MA</t>
    </r>
  </si>
  <si>
    <r>
      <rPr>
        <sz val="12"/>
        <color indexed="8"/>
        <rFont val="Courier New"/>
      </rPr>
      <t>MH34AB8930</t>
    </r>
  </si>
  <si>
    <r>
      <rPr>
        <sz val="12"/>
        <color indexed="8"/>
        <rFont val="Times New Roman"/>
      </rPr>
      <t>SANTOSH MA</t>
    </r>
  </si>
  <si>
    <r>
      <rPr>
        <sz val="12"/>
        <color indexed="8"/>
        <rFont val="Courier New"/>
      </rPr>
      <t>SWAPNIL MU</t>
    </r>
  </si>
  <si>
    <r>
      <rPr>
        <sz val="12"/>
        <color indexed="8"/>
        <rFont val="Times New Roman"/>
      </rPr>
      <t>SWAPNIL MU</t>
    </r>
  </si>
  <si>
    <r>
      <rPr>
        <sz val="12"/>
        <color indexed="8"/>
        <rFont val="Courier New"/>
      </rPr>
      <t>NARESH MAN</t>
    </r>
  </si>
  <si>
    <r>
      <rPr>
        <sz val="12"/>
        <color indexed="8"/>
        <rFont val="Courier New"/>
      </rPr>
      <t>MH34AV2039</t>
    </r>
  </si>
  <si>
    <r>
      <rPr>
        <sz val="12"/>
        <color indexed="8"/>
        <rFont val="Times New Roman"/>
      </rPr>
      <t>NARESH MAN</t>
    </r>
  </si>
  <si>
    <r>
      <rPr>
        <sz val="12"/>
        <color indexed="8"/>
        <rFont val="Courier New"/>
      </rPr>
      <t>ARUN GEDEK</t>
    </r>
  </si>
  <si>
    <r>
      <rPr>
        <sz val="12"/>
        <color indexed="8"/>
        <rFont val="Times New Roman"/>
      </rPr>
      <t>ARUN GEDEK</t>
    </r>
  </si>
  <si>
    <r>
      <rPr>
        <sz val="12"/>
        <color indexed="8"/>
        <rFont val="Courier New"/>
      </rPr>
      <t>ISHWAR THE</t>
    </r>
  </si>
  <si>
    <r>
      <rPr>
        <sz val="12"/>
        <color indexed="8"/>
        <rFont val="Courier New"/>
      </rPr>
      <t>MH34BG8825</t>
    </r>
  </si>
  <si>
    <r>
      <rPr>
        <sz val="12"/>
        <color indexed="8"/>
        <rFont val="Times New Roman"/>
      </rPr>
      <t>ISHWAR THE</t>
    </r>
  </si>
  <si>
    <t>CANCAL D M</t>
  </si>
  <si>
    <r>
      <rPr>
        <sz val="12"/>
        <color indexed="8"/>
        <rFont val="Times New Roman"/>
      </rPr>
      <t>CANCAL D M</t>
    </r>
  </si>
  <si>
    <t>CANCELLED</t>
  </si>
  <si>
    <r>
      <rPr>
        <sz val="12"/>
        <color indexed="8"/>
        <rFont val="Courier New"/>
      </rPr>
      <t>SUNIL RAUT</t>
    </r>
  </si>
  <si>
    <r>
      <rPr>
        <sz val="12"/>
        <color indexed="8"/>
        <rFont val="Courier New"/>
      </rPr>
      <t>MH34BG2138</t>
    </r>
  </si>
  <si>
    <r>
      <rPr>
        <sz val="12"/>
        <color indexed="8"/>
        <rFont val="Times New Roman"/>
      </rPr>
      <t>SUNIL RAUT</t>
    </r>
  </si>
  <si>
    <r>
      <rPr>
        <sz val="12"/>
        <color indexed="8"/>
        <rFont val="Courier New"/>
      </rPr>
      <t>NIKHIL THE</t>
    </r>
  </si>
  <si>
    <r>
      <rPr>
        <sz val="12"/>
        <color indexed="8"/>
        <rFont val="Courier New"/>
      </rPr>
      <t>MH34AP0148</t>
    </r>
  </si>
  <si>
    <r>
      <rPr>
        <sz val="12"/>
        <color indexed="8"/>
        <rFont val="Times New Roman"/>
      </rPr>
      <t>NIKHIL THE</t>
    </r>
  </si>
  <si>
    <t>NARESH DHORE</t>
  </si>
  <si>
    <r>
      <rPr>
        <sz val="12"/>
        <color indexed="8"/>
        <rFont val="Times New Roman"/>
      </rPr>
      <t>NARESH DHORE</t>
    </r>
  </si>
  <si>
    <r>
      <rPr>
        <sz val="12"/>
        <color indexed="8"/>
        <rFont val="Courier New"/>
      </rPr>
      <t>SAKHARWAHI</t>
    </r>
  </si>
  <si>
    <r>
      <rPr>
        <sz val="12"/>
        <color indexed="8"/>
        <rFont val="Courier New"/>
      </rPr>
      <t>MH34BR6733</t>
    </r>
  </si>
  <si>
    <t>ABHAS SINGH</t>
  </si>
  <si>
    <r>
      <rPr>
        <sz val="12"/>
        <color indexed="8"/>
        <rFont val="Times New Roman"/>
      </rPr>
      <t>ABHAS SINGH</t>
    </r>
  </si>
  <si>
    <r>
      <rPr>
        <sz val="12"/>
        <color indexed="8"/>
        <rFont val="Courier New"/>
      </rPr>
      <t>CHANDRAPUR</t>
    </r>
  </si>
  <si>
    <t>MANISH TAPASE</t>
  </si>
  <si>
    <r>
      <rPr>
        <sz val="12"/>
        <color indexed="8"/>
        <rFont val="Times New Roman"/>
      </rPr>
      <t>MANISH TAPASE</t>
    </r>
  </si>
  <si>
    <r>
      <rPr>
        <sz val="12"/>
        <color indexed="8"/>
        <rFont val="Courier New"/>
      </rPr>
      <t>GANDI CHOU</t>
    </r>
  </si>
  <si>
    <r>
      <rPr>
        <sz val="12"/>
        <color indexed="8"/>
        <rFont val="Courier New"/>
      </rPr>
      <t>MH34AP0147</t>
    </r>
  </si>
  <si>
    <t>PANDIT PARODHE</t>
  </si>
  <si>
    <r>
      <rPr>
        <sz val="12"/>
        <color indexed="8"/>
        <rFont val="Times New Roman"/>
      </rPr>
      <t>PANDIT PARODHE</t>
    </r>
  </si>
  <si>
    <r>
      <rPr>
        <sz val="12"/>
        <color indexed="8"/>
        <rFont val="Courier New"/>
      </rPr>
      <t>LOHARA</t>
    </r>
  </si>
  <si>
    <t>ARYAN BUILDERS</t>
  </si>
  <si>
    <r>
      <rPr>
        <sz val="12"/>
        <color indexed="8"/>
        <rFont val="Times New Roman"/>
      </rPr>
      <t>ARYAN BUILDERS</t>
    </r>
  </si>
  <si>
    <r>
      <rPr>
        <sz val="12"/>
        <color indexed="8"/>
        <rFont val="Courier New"/>
      </rPr>
      <t>PADOLI</t>
    </r>
  </si>
  <si>
    <r>
      <rPr>
        <sz val="12"/>
        <color indexed="8"/>
        <rFont val="Courier New"/>
      </rPr>
      <t>SANDIP CHA</t>
    </r>
  </si>
  <si>
    <r>
      <rPr>
        <sz val="12"/>
        <color indexed="8"/>
        <rFont val="Times New Roman"/>
      </rPr>
      <t>SANDIP CHA</t>
    </r>
  </si>
  <si>
    <r>
      <rPr>
        <sz val="12"/>
        <color indexed="8"/>
        <rFont val="Courier New"/>
      </rPr>
      <t>DILIP KAMB</t>
    </r>
  </si>
  <si>
    <r>
      <rPr>
        <sz val="12"/>
        <color indexed="8"/>
        <rFont val="Times New Roman"/>
      </rPr>
      <t>DILIP KAMB</t>
    </r>
  </si>
  <si>
    <r>
      <rPr>
        <sz val="12"/>
        <color indexed="8"/>
        <rFont val="Courier New"/>
      </rPr>
      <t>SWAPNIL SA</t>
    </r>
  </si>
  <si>
    <r>
      <rPr>
        <sz val="12"/>
        <color indexed="8"/>
        <rFont val="Times New Roman"/>
      </rPr>
      <t>SWAPNIL SA</t>
    </r>
  </si>
  <si>
    <t>ABHIJIT SOOR</t>
  </si>
  <si>
    <r>
      <rPr>
        <sz val="12"/>
        <color indexed="8"/>
        <rFont val="Times New Roman"/>
      </rPr>
      <t>ABHIJIT SOOR</t>
    </r>
  </si>
  <si>
    <r>
      <rPr>
        <sz val="12"/>
        <color indexed="8"/>
        <rFont val="Courier New"/>
      </rPr>
      <t>KOSARA</t>
    </r>
  </si>
  <si>
    <t>MAHESH MALIK</t>
  </si>
  <si>
    <r>
      <rPr>
        <sz val="12"/>
        <color indexed="8"/>
        <rFont val="Times New Roman"/>
      </rPr>
      <t>MAHESH MALIK</t>
    </r>
  </si>
  <si>
    <r>
      <rPr>
        <sz val="12"/>
        <color indexed="8"/>
        <rFont val="Courier New"/>
      </rPr>
      <t>HAVELI GAR</t>
    </r>
  </si>
  <si>
    <r>
      <rPr>
        <sz val="12"/>
        <color indexed="8"/>
        <rFont val="Courier New"/>
      </rPr>
      <t>RAJU SALAN</t>
    </r>
  </si>
  <si>
    <r>
      <rPr>
        <sz val="12"/>
        <color indexed="8"/>
        <rFont val="Times New Roman"/>
      </rPr>
      <t>RAJU SALAN</t>
    </r>
  </si>
  <si>
    <r>
      <rPr>
        <sz val="12"/>
        <color indexed="8"/>
        <rFont val="Courier New"/>
      </rPr>
      <t>VITTHAL RA</t>
    </r>
  </si>
  <si>
    <r>
      <rPr>
        <sz val="12"/>
        <color indexed="8"/>
        <rFont val="Times New Roman"/>
      </rPr>
      <t>VITTHAL RA</t>
    </r>
  </si>
  <si>
    <r>
      <rPr>
        <sz val="12"/>
        <color indexed="8"/>
        <rFont val="Courier New"/>
      </rPr>
      <t>WASUDEO GO</t>
    </r>
  </si>
  <si>
    <r>
      <rPr>
        <sz val="12"/>
        <color indexed="8"/>
        <rFont val="Times New Roman"/>
      </rPr>
      <t>WASUDEO GO</t>
    </r>
  </si>
  <si>
    <r>
      <rPr>
        <sz val="12"/>
        <color indexed="8"/>
        <rFont val="Courier New"/>
      </rPr>
      <t>DR NIKHADE</t>
    </r>
  </si>
  <si>
    <r>
      <rPr>
        <sz val="12"/>
        <color indexed="8"/>
        <rFont val="Times New Roman"/>
      </rPr>
      <t>DR NIKHADE</t>
    </r>
  </si>
  <si>
    <r>
      <rPr>
        <sz val="12"/>
        <color indexed="8"/>
        <rFont val="Courier New"/>
      </rPr>
      <t>BHIVAPUR</t>
    </r>
  </si>
  <si>
    <r>
      <rPr>
        <sz val="12"/>
        <color indexed="8"/>
        <rFont val="Courier New"/>
      </rPr>
      <t>VAIBHAV FA</t>
    </r>
  </si>
  <si>
    <r>
      <rPr>
        <sz val="12"/>
        <color indexed="8"/>
        <rFont val="Times New Roman"/>
      </rPr>
      <t>VAIBHAV FA</t>
    </r>
  </si>
  <si>
    <t>SANTOSH PUNYAPAWAR</t>
  </si>
  <si>
    <r>
      <rPr>
        <sz val="12"/>
        <color indexed="8"/>
        <rFont val="Times New Roman"/>
      </rPr>
      <t>SANTOSH PUNYAPAWAR</t>
    </r>
  </si>
  <si>
    <t>CASH</t>
  </si>
  <si>
    <t>SALE</t>
  </si>
  <si>
    <r>
      <rPr>
        <sz val="12"/>
        <color indexed="8"/>
        <rFont val="Courier New"/>
      </rPr>
      <t>PRAJAT BUR</t>
    </r>
  </si>
  <si>
    <r>
      <rPr>
        <sz val="12"/>
        <color indexed="8"/>
        <rFont val="Times New Roman"/>
      </rPr>
      <t>PRAJAT BUR</t>
    </r>
  </si>
  <si>
    <r>
      <rPr>
        <sz val="12"/>
        <color indexed="8"/>
        <rFont val="Courier New"/>
      </rPr>
      <t>YASHVANT T</t>
    </r>
  </si>
  <si>
    <r>
      <rPr>
        <sz val="12"/>
        <color indexed="8"/>
        <rFont val="Times New Roman"/>
      </rPr>
      <t>YASHVANT T</t>
    </r>
  </si>
  <si>
    <r>
      <rPr>
        <sz val="12"/>
        <color indexed="8"/>
        <rFont val="Courier New"/>
      </rPr>
      <t>SUNIL ROHA</t>
    </r>
  </si>
  <si>
    <r>
      <rPr>
        <sz val="12"/>
        <color indexed="8"/>
        <rFont val="Times New Roman"/>
      </rPr>
      <t>SUNIL ROHA</t>
    </r>
  </si>
  <si>
    <r>
      <rPr>
        <sz val="12"/>
        <color indexed="8"/>
        <rFont val="Courier New"/>
      </rPr>
      <t>ANIL NIPUN</t>
    </r>
  </si>
  <si>
    <r>
      <rPr>
        <sz val="12"/>
        <color indexed="8"/>
        <rFont val="Times New Roman"/>
      </rPr>
      <t>ANIL NIPUN</t>
    </r>
  </si>
  <si>
    <r>
      <rPr>
        <sz val="12"/>
        <color indexed="8"/>
        <rFont val="Courier New"/>
      </rPr>
      <t>MAROTI PAR</t>
    </r>
  </si>
  <si>
    <r>
      <rPr>
        <sz val="12"/>
        <color indexed="8"/>
        <rFont val="Times New Roman"/>
      </rPr>
      <t>MAROTI PAR</t>
    </r>
  </si>
  <si>
    <r>
      <rPr>
        <sz val="12"/>
        <color indexed="8"/>
        <rFont val="Courier New"/>
      </rPr>
      <t>JOYA TAILE</t>
    </r>
  </si>
  <si>
    <r>
      <rPr>
        <sz val="12"/>
        <color indexed="8"/>
        <rFont val="Times New Roman"/>
      </rPr>
      <t>JOYA TAILE</t>
    </r>
  </si>
  <si>
    <r>
      <rPr>
        <sz val="12"/>
        <color indexed="8"/>
        <rFont val="Courier New"/>
      </rPr>
      <t>DILIP MYAK</t>
    </r>
  </si>
  <si>
    <r>
      <rPr>
        <sz val="12"/>
        <color indexed="8"/>
        <rFont val="Times New Roman"/>
      </rPr>
      <t>DILIP MYAK</t>
    </r>
  </si>
  <si>
    <r>
      <rPr>
        <sz val="12"/>
        <color indexed="8"/>
        <rFont val="Courier New"/>
      </rPr>
      <t>SAIKRISHNA</t>
    </r>
  </si>
  <si>
    <r>
      <rPr>
        <sz val="12"/>
        <color indexed="8"/>
        <rFont val="Times New Roman"/>
      </rPr>
      <t>SAIKRISHNA</t>
    </r>
  </si>
  <si>
    <r>
      <rPr>
        <sz val="12"/>
        <color indexed="8"/>
        <rFont val="Courier New"/>
      </rPr>
      <t>ROHIT BURR</t>
    </r>
  </si>
  <si>
    <r>
      <rPr>
        <sz val="12"/>
        <color indexed="8"/>
        <rFont val="Times New Roman"/>
      </rPr>
      <t>ROHIT BURR</t>
    </r>
  </si>
  <si>
    <r>
      <rPr>
        <sz val="12"/>
        <color indexed="8"/>
        <rFont val="Courier New"/>
      </rPr>
      <t>GANESH KUS</t>
    </r>
  </si>
  <si>
    <r>
      <rPr>
        <sz val="12"/>
        <color indexed="8"/>
        <rFont val="Times New Roman"/>
      </rPr>
      <t>GANESH KUS</t>
    </r>
  </si>
  <si>
    <t>MOHAN NAMANWAR</t>
  </si>
  <si>
    <r>
      <rPr>
        <sz val="12"/>
        <color indexed="8"/>
        <rFont val="Times New Roman"/>
      </rPr>
      <t>MOHAN NAMANWAR</t>
    </r>
  </si>
  <si>
    <r>
      <rPr>
        <sz val="12"/>
        <color indexed="8"/>
        <rFont val="Courier New"/>
      </rPr>
      <t>NANDGAON P</t>
    </r>
  </si>
  <si>
    <t>GAURAO NANDURKAR</t>
  </si>
  <si>
    <r>
      <rPr>
        <sz val="12"/>
        <color indexed="8"/>
        <rFont val="Times New Roman"/>
      </rPr>
      <t>GAURAO NANDURKAR</t>
    </r>
  </si>
  <si>
    <r>
      <rPr>
        <sz val="12"/>
        <color indexed="8"/>
        <rFont val="Courier New"/>
      </rPr>
      <t>WANDHARI F</t>
    </r>
  </si>
  <si>
    <t>SUJAL CHANDANKHEDE</t>
  </si>
  <si>
    <r>
      <rPr>
        <sz val="12"/>
        <color indexed="8"/>
        <rFont val="Times New Roman"/>
      </rPr>
      <t>SUJAL CHANDANKHEDE</t>
    </r>
  </si>
  <si>
    <r>
      <rPr>
        <sz val="12"/>
        <color indexed="8"/>
        <rFont val="Courier New"/>
      </rPr>
      <t>BABUPETH</t>
    </r>
  </si>
  <si>
    <t>THAKARE THEKEDAR</t>
  </si>
  <si>
    <r>
      <rPr>
        <sz val="12"/>
        <color indexed="8"/>
        <rFont val="Times New Roman"/>
      </rPr>
      <t>THAKARE THEKEDAR</t>
    </r>
  </si>
  <si>
    <r>
      <rPr>
        <sz val="12"/>
        <color indexed="8"/>
        <rFont val="Courier New"/>
      </rPr>
      <t>LALPETH</t>
    </r>
  </si>
  <si>
    <r>
      <rPr>
        <sz val="12"/>
        <color indexed="8"/>
        <rFont val="Courier New"/>
      </rPr>
      <t>ACHAL GEDA</t>
    </r>
  </si>
  <si>
    <r>
      <rPr>
        <sz val="12"/>
        <color indexed="8"/>
        <rFont val="Times New Roman"/>
      </rPr>
      <t>ACHAL GEDA</t>
    </r>
  </si>
  <si>
    <t>ABHILASH MALEKAR</t>
  </si>
  <si>
    <r>
      <rPr>
        <sz val="12"/>
        <color indexed="8"/>
        <rFont val="Times New Roman"/>
      </rPr>
      <t>ABHILASH MALEKAR</t>
    </r>
  </si>
  <si>
    <r>
      <rPr>
        <sz val="12"/>
        <color indexed="8"/>
        <rFont val="Courier New"/>
      </rPr>
      <t>TUKUM</t>
    </r>
  </si>
  <si>
    <t>BHUPESH REGUNDWAR</t>
  </si>
  <si>
    <r>
      <rPr>
        <sz val="12"/>
        <color indexed="8"/>
        <rFont val="Times New Roman"/>
      </rPr>
      <t>BHUPESH REGUNDWAR</t>
    </r>
  </si>
  <si>
    <r>
      <rPr>
        <sz val="12"/>
        <color indexed="8"/>
        <rFont val="Courier New"/>
      </rPr>
      <t>JUNONA CHA</t>
    </r>
  </si>
  <si>
    <r>
      <rPr>
        <sz val="12"/>
        <color indexed="8"/>
        <rFont val="Courier New"/>
      </rPr>
      <t>HVELI GARD</t>
    </r>
  </si>
  <si>
    <r>
      <rPr>
        <sz val="12"/>
        <color indexed="8"/>
        <rFont val="Courier New"/>
      </rPr>
      <t>DEVIDAS RA</t>
    </r>
  </si>
  <si>
    <r>
      <rPr>
        <sz val="12"/>
        <color indexed="8"/>
        <rFont val="Times New Roman"/>
      </rPr>
      <t>DEVIDAS RA</t>
    </r>
  </si>
  <si>
    <t>SHAILESH DUDHE</t>
  </si>
  <si>
    <r>
      <rPr>
        <sz val="12"/>
        <color indexed="8"/>
        <rFont val="Times New Roman"/>
      </rPr>
      <t>SHAILESH DUDHE</t>
    </r>
  </si>
  <si>
    <r>
      <rPr>
        <sz val="12"/>
        <color indexed="8"/>
        <rFont val="Courier New"/>
      </rPr>
      <t>AAKASHWANI</t>
    </r>
  </si>
  <si>
    <r>
      <rPr>
        <sz val="12"/>
        <color indexed="8"/>
        <rFont val="Courier New"/>
      </rPr>
      <t>VIKRAM JIN</t>
    </r>
  </si>
  <si>
    <r>
      <rPr>
        <sz val="12"/>
        <color indexed="8"/>
        <rFont val="Times New Roman"/>
      </rPr>
      <t>VIKRAM JIN</t>
    </r>
  </si>
  <si>
    <r>
      <rPr>
        <sz val="12"/>
        <color indexed="8"/>
        <rFont val="Courier New"/>
      </rPr>
      <t>NITIN NIPU</t>
    </r>
  </si>
  <si>
    <r>
      <rPr>
        <sz val="12"/>
        <color indexed="8"/>
        <rFont val="Times New Roman"/>
      </rPr>
      <t>NITIN NIPU</t>
    </r>
  </si>
  <si>
    <r>
      <rPr>
        <sz val="12"/>
        <color indexed="8"/>
        <rFont val="Courier New"/>
      </rPr>
      <t>NILESH CHA</t>
    </r>
  </si>
  <si>
    <r>
      <rPr>
        <sz val="12"/>
        <color indexed="8"/>
        <rFont val="Times New Roman"/>
      </rPr>
      <t>NILESH CHA</t>
    </r>
  </si>
  <si>
    <r>
      <rPr>
        <sz val="12"/>
        <color indexed="8"/>
        <rFont val="Courier New"/>
      </rPr>
      <t>KURAWATKAR</t>
    </r>
  </si>
  <si>
    <r>
      <rPr>
        <sz val="12"/>
        <color indexed="8"/>
        <rFont val="Times New Roman"/>
      </rPr>
      <t>KURAWATKAR</t>
    </r>
  </si>
  <si>
    <r>
      <rPr>
        <sz val="12"/>
        <color indexed="8"/>
        <rFont val="Courier New"/>
      </rPr>
      <t>VIKAS BHOY</t>
    </r>
  </si>
  <si>
    <r>
      <rPr>
        <sz val="12"/>
        <color indexed="8"/>
        <rFont val="Times New Roman"/>
      </rPr>
      <t>VIKAS BHOY</t>
    </r>
  </si>
  <si>
    <r>
      <rPr>
        <sz val="12"/>
        <color indexed="8"/>
        <rFont val="Courier New"/>
      </rPr>
      <t>MAHESH DEU</t>
    </r>
  </si>
  <si>
    <r>
      <rPr>
        <sz val="12"/>
        <color indexed="8"/>
        <rFont val="Times New Roman"/>
      </rPr>
      <t>MAHESH DEU</t>
    </r>
  </si>
  <si>
    <r>
      <rPr>
        <sz val="12"/>
        <color indexed="8"/>
        <rFont val="Courier New"/>
      </rPr>
      <t>SHAFIQ AHE</t>
    </r>
  </si>
  <si>
    <r>
      <rPr>
        <sz val="12"/>
        <color indexed="8"/>
        <rFont val="Times New Roman"/>
      </rPr>
      <t>SHAFIQ AHE</t>
    </r>
  </si>
  <si>
    <t>AVINASH UADE</t>
  </si>
  <si>
    <r>
      <rPr>
        <sz val="12"/>
        <color indexed="8"/>
        <rFont val="Times New Roman"/>
      </rPr>
      <t>AVINASH UADE</t>
    </r>
  </si>
  <si>
    <r>
      <rPr>
        <sz val="12"/>
        <color indexed="8"/>
        <rFont val="Courier New"/>
      </rPr>
      <t>SAURABHA A</t>
    </r>
  </si>
  <si>
    <r>
      <rPr>
        <sz val="12"/>
        <color indexed="8"/>
        <rFont val="Times New Roman"/>
      </rPr>
      <t>SAURABHA A</t>
    </r>
  </si>
  <si>
    <r>
      <rPr>
        <sz val="12"/>
        <color indexed="8"/>
        <rFont val="Courier New"/>
      </rPr>
      <t>ARUN GAJJA</t>
    </r>
  </si>
  <si>
    <r>
      <rPr>
        <sz val="12"/>
        <color indexed="8"/>
        <rFont val="Times New Roman"/>
      </rPr>
      <t>ARUN GAJJA</t>
    </r>
  </si>
  <si>
    <t>RAJU YADAO</t>
  </si>
  <si>
    <r>
      <rPr>
        <sz val="12"/>
        <color indexed="8"/>
        <rFont val="Times New Roman"/>
      </rPr>
      <t>RAJU YADAO</t>
    </r>
  </si>
  <si>
    <r>
      <rPr>
        <sz val="12"/>
        <color indexed="8"/>
        <rFont val="Courier New"/>
      </rPr>
      <t>WAGHOBA CH</t>
    </r>
  </si>
  <si>
    <r>
      <rPr>
        <sz val="12"/>
        <color indexed="8"/>
        <rFont val="Courier New"/>
      </rPr>
      <t>SANDIP KHU</t>
    </r>
  </si>
  <si>
    <r>
      <rPr>
        <sz val="12"/>
        <color indexed="8"/>
        <rFont val="Times New Roman"/>
      </rPr>
      <t>SANDIP KHU</t>
    </r>
  </si>
  <si>
    <r>
      <rPr>
        <sz val="12"/>
        <color indexed="8"/>
        <rFont val="Courier New"/>
      </rPr>
      <t>WANDHRI FA</t>
    </r>
  </si>
  <si>
    <t>PAVAN BAVISKAR</t>
  </si>
  <si>
    <r>
      <rPr>
        <sz val="12"/>
        <color indexed="8"/>
        <rFont val="Times New Roman"/>
      </rPr>
      <t>PAVAN BAVISKAR</t>
    </r>
  </si>
  <si>
    <r>
      <rPr>
        <sz val="12"/>
        <color indexed="8"/>
        <rFont val="Courier New"/>
      </rPr>
      <t>DEWADA</t>
    </r>
  </si>
  <si>
    <r>
      <rPr>
        <sz val="12"/>
        <color indexed="8"/>
        <rFont val="Courier New"/>
      </rPr>
      <t>SANJAY BHO</t>
    </r>
  </si>
  <si>
    <r>
      <rPr>
        <sz val="12"/>
        <color indexed="8"/>
        <rFont val="Times New Roman"/>
      </rPr>
      <t>SANJAY BHO</t>
    </r>
  </si>
  <si>
    <r>
      <rPr>
        <sz val="12"/>
        <color indexed="8"/>
        <rFont val="Courier New"/>
      </rPr>
      <t>ABHAY GOVA</t>
    </r>
  </si>
  <si>
    <r>
      <rPr>
        <sz val="12"/>
        <color indexed="8"/>
        <rFont val="Times New Roman"/>
      </rPr>
      <t>ABHAY GOVA</t>
    </r>
  </si>
  <si>
    <r>
      <rPr>
        <sz val="12"/>
        <color indexed="8"/>
        <rFont val="Courier New"/>
      </rPr>
      <t>HARSHAL DA</t>
    </r>
  </si>
  <si>
    <r>
      <rPr>
        <sz val="12"/>
        <color indexed="8"/>
        <rFont val="Times New Roman"/>
      </rPr>
      <t>HARSHAL DA</t>
    </r>
  </si>
  <si>
    <r>
      <rPr>
        <sz val="12"/>
        <color indexed="8"/>
        <rFont val="Courier New"/>
      </rPr>
      <t>DATTU GATA</t>
    </r>
  </si>
  <si>
    <r>
      <rPr>
        <sz val="12"/>
        <color indexed="8"/>
        <rFont val="Times New Roman"/>
      </rPr>
      <t>DATTU GATA</t>
    </r>
  </si>
  <si>
    <r>
      <rPr>
        <sz val="12"/>
        <color indexed="8"/>
        <rFont val="Courier New"/>
      </rPr>
      <t>SANDIP TUR</t>
    </r>
  </si>
  <si>
    <r>
      <rPr>
        <sz val="12"/>
        <color indexed="8"/>
        <rFont val="Times New Roman"/>
      </rPr>
      <t>SANDIP TUR</t>
    </r>
  </si>
  <si>
    <r>
      <rPr>
        <sz val="12"/>
        <color indexed="8"/>
        <rFont val="Courier New"/>
      </rPr>
      <t>PRAVIN MAD</t>
    </r>
  </si>
  <si>
    <r>
      <rPr>
        <sz val="12"/>
        <color indexed="8"/>
        <rFont val="Times New Roman"/>
      </rPr>
      <t>PRAVIN MAD</t>
    </r>
  </si>
  <si>
    <t>KISHOR AATRAM</t>
  </si>
  <si>
    <r>
      <rPr>
        <sz val="12"/>
        <color indexed="8"/>
        <rFont val="Times New Roman"/>
      </rPr>
      <t>KISHOR AATRAM</t>
    </r>
  </si>
  <si>
    <t>YOGESH NISTANE</t>
  </si>
  <si>
    <r>
      <rPr>
        <sz val="12"/>
        <color indexed="8"/>
        <rFont val="Times New Roman"/>
      </rPr>
      <t>YOGESH NISTANE</t>
    </r>
  </si>
  <si>
    <r>
      <rPr>
        <sz val="12"/>
        <color indexed="8"/>
        <rFont val="Courier New"/>
      </rPr>
      <t>BAGLA CHOU</t>
    </r>
  </si>
  <si>
    <t>SHUBHAM BONDE</t>
  </si>
  <si>
    <r>
      <rPr>
        <sz val="12"/>
        <color indexed="8"/>
        <rFont val="Times New Roman"/>
      </rPr>
      <t>SHUBHAM BONDE</t>
    </r>
  </si>
  <si>
    <r>
      <rPr>
        <sz val="12"/>
        <color indexed="8"/>
        <rFont val="Courier New"/>
      </rPr>
      <t>J B NAHAR</t>
    </r>
  </si>
  <si>
    <t>SACHIN LINGOJWAR</t>
  </si>
  <si>
    <r>
      <rPr>
        <sz val="12"/>
        <color indexed="8"/>
        <rFont val="Times New Roman"/>
      </rPr>
      <t>SACHIN LINGOJWAR</t>
    </r>
  </si>
  <si>
    <r>
      <rPr>
        <sz val="12"/>
        <color indexed="8"/>
        <rFont val="Courier New"/>
      </rPr>
      <t>CHINCHALA</t>
    </r>
  </si>
  <si>
    <r>
      <rPr>
        <sz val="12"/>
        <color indexed="8"/>
        <rFont val="Courier New"/>
      </rPr>
      <t>SISTER COL</t>
    </r>
  </si>
  <si>
    <r>
      <rPr>
        <sz val="12"/>
        <color indexed="8"/>
        <rFont val="Courier New"/>
      </rPr>
      <t>TUKUM TALA</t>
    </r>
  </si>
  <si>
    <r>
      <rPr>
        <sz val="12"/>
        <color indexed="8"/>
        <rFont val="Courier New"/>
      </rPr>
      <t>SAURABH AA</t>
    </r>
  </si>
  <si>
    <r>
      <rPr>
        <sz val="12"/>
        <color indexed="8"/>
        <rFont val="Times New Roman"/>
      </rPr>
      <t>SAURABH AA</t>
    </r>
  </si>
  <si>
    <r>
      <rPr>
        <sz val="12"/>
        <color indexed="8"/>
        <rFont val="Courier New"/>
      </rPr>
      <t>AIRPORT</t>
    </r>
  </si>
  <si>
    <r>
      <rPr>
        <sz val="12"/>
        <color indexed="8"/>
        <rFont val="Courier New"/>
      </rPr>
      <t>VISHWNATH</t>
    </r>
  </si>
  <si>
    <r>
      <rPr>
        <sz val="12"/>
        <color indexed="8"/>
        <rFont val="Times New Roman"/>
      </rPr>
      <t>VISHWNATH</t>
    </r>
  </si>
  <si>
    <r>
      <rPr>
        <sz val="12"/>
        <color indexed="8"/>
        <rFont val="Courier New"/>
      </rPr>
      <t>LAXMAN URK</t>
    </r>
  </si>
  <si>
    <r>
      <rPr>
        <sz val="12"/>
        <color indexed="8"/>
        <rFont val="Times New Roman"/>
      </rPr>
      <t>LAXMAN URK</t>
    </r>
  </si>
  <si>
    <r>
      <rPr>
        <sz val="12"/>
        <color indexed="8"/>
        <rFont val="Courier New"/>
      </rPr>
      <t>YADAO SASA</t>
    </r>
  </si>
  <si>
    <r>
      <rPr>
        <sz val="12"/>
        <color indexed="8"/>
        <rFont val="Times New Roman"/>
      </rPr>
      <t>YADAO SASA</t>
    </r>
  </si>
  <si>
    <r>
      <rPr>
        <sz val="12"/>
        <color indexed="8"/>
        <rFont val="Courier New"/>
      </rPr>
      <t>CHETAN PET</t>
    </r>
  </si>
  <si>
    <r>
      <rPr>
        <sz val="12"/>
        <color indexed="8"/>
        <rFont val="Times New Roman"/>
      </rPr>
      <t>CHETAN PET</t>
    </r>
  </si>
  <si>
    <r>
      <rPr>
        <sz val="12"/>
        <color indexed="8"/>
        <rFont val="Courier New"/>
      </rPr>
      <t>KAWADU MOH</t>
    </r>
  </si>
  <si>
    <r>
      <rPr>
        <sz val="12"/>
        <color indexed="8"/>
        <rFont val="Times New Roman"/>
      </rPr>
      <t>KAWADU MOH</t>
    </r>
  </si>
  <si>
    <r>
      <rPr>
        <sz val="12"/>
        <color indexed="8"/>
        <rFont val="Courier New"/>
      </rPr>
      <t>NIKHIL KAR</t>
    </r>
  </si>
  <si>
    <r>
      <rPr>
        <sz val="12"/>
        <color indexed="8"/>
        <rFont val="Times New Roman"/>
      </rPr>
      <t>NIKHIL KAR</t>
    </r>
  </si>
  <si>
    <r>
      <rPr>
        <sz val="12"/>
        <color indexed="8"/>
        <rFont val="Courier New"/>
      </rPr>
      <t>GANESH AGI</t>
    </r>
  </si>
  <si>
    <r>
      <rPr>
        <sz val="12"/>
        <color indexed="8"/>
        <rFont val="Times New Roman"/>
      </rPr>
      <t>GANESH AGI</t>
    </r>
  </si>
  <si>
    <r>
      <rPr>
        <sz val="12"/>
        <color indexed="8"/>
        <rFont val="Courier New"/>
      </rPr>
      <t>SIDHARDH B</t>
    </r>
  </si>
  <si>
    <r>
      <rPr>
        <sz val="12"/>
        <color indexed="8"/>
        <rFont val="Times New Roman"/>
      </rPr>
      <t>SIDHARDH B</t>
    </r>
  </si>
  <si>
    <t>PARMESHWAR LANDE</t>
  </si>
  <si>
    <r>
      <rPr>
        <sz val="12"/>
        <color indexed="8"/>
        <rFont val="Times New Roman"/>
      </rPr>
      <t>PARMESHWAR LANDE</t>
    </r>
  </si>
  <si>
    <r>
      <rPr>
        <sz val="12"/>
        <color indexed="8"/>
        <rFont val="Courier New"/>
      </rPr>
      <t>AARAWAT</t>
    </r>
  </si>
  <si>
    <t>RENUKA H W</t>
  </si>
  <si>
    <r>
      <rPr>
        <sz val="12"/>
        <color indexed="8"/>
        <rFont val="Times New Roman"/>
      </rPr>
      <t>RENUKA H W</t>
    </r>
  </si>
  <si>
    <r>
      <rPr>
        <sz val="12"/>
        <color indexed="8"/>
        <rFont val="Courier New"/>
      </rPr>
      <t>ANUP WANKH</t>
    </r>
  </si>
  <si>
    <r>
      <rPr>
        <sz val="12"/>
        <color indexed="8"/>
        <rFont val="Times New Roman"/>
      </rPr>
      <t>ANUP WANKH</t>
    </r>
  </si>
  <si>
    <r>
      <rPr>
        <sz val="12"/>
        <color indexed="8"/>
        <rFont val="Courier New"/>
      </rPr>
      <t>PRAKASH CH</t>
    </r>
  </si>
  <si>
    <r>
      <rPr>
        <sz val="12"/>
        <color indexed="8"/>
        <rFont val="Times New Roman"/>
      </rPr>
      <t>PRAKASH CH</t>
    </r>
  </si>
  <si>
    <r>
      <rPr>
        <sz val="12"/>
        <color indexed="8"/>
        <rFont val="Courier New"/>
      </rPr>
      <t>THAKKAR CO</t>
    </r>
  </si>
  <si>
    <r>
      <rPr>
        <sz val="12"/>
        <color indexed="8"/>
        <rFont val="Times New Roman"/>
      </rPr>
      <t>THAKKAR CO</t>
    </r>
  </si>
  <si>
    <r>
      <rPr>
        <sz val="12"/>
        <color indexed="8"/>
        <rFont val="Courier New"/>
      </rPr>
      <t>J B NAGAR</t>
    </r>
  </si>
  <si>
    <r>
      <rPr>
        <sz val="12"/>
        <color indexed="8"/>
        <rFont val="Courier New"/>
      </rPr>
      <t>GANESH NIH</t>
    </r>
  </si>
  <si>
    <r>
      <rPr>
        <sz val="12"/>
        <color indexed="8"/>
        <rFont val="Times New Roman"/>
      </rPr>
      <t>GANESH NIH</t>
    </r>
  </si>
  <si>
    <r>
      <rPr>
        <sz val="12"/>
        <color indexed="8"/>
        <rFont val="Courier New"/>
      </rPr>
      <t>LAKHAMAPUR</t>
    </r>
  </si>
  <si>
    <r>
      <rPr>
        <sz val="12"/>
        <color indexed="8"/>
        <rFont val="Times New Roman"/>
      </rPr>
      <t>LAKHAMAPUR</t>
    </r>
  </si>
  <si>
    <r>
      <rPr>
        <sz val="12"/>
        <color indexed="8"/>
        <rFont val="Courier New"/>
      </rPr>
      <t>MAHESH TIP</t>
    </r>
  </si>
  <si>
    <r>
      <rPr>
        <sz val="12"/>
        <color indexed="8"/>
        <rFont val="Times New Roman"/>
      </rPr>
      <t>MAHESH TIP</t>
    </r>
  </si>
  <si>
    <r>
      <rPr>
        <sz val="12"/>
        <color indexed="8"/>
        <rFont val="Courier New"/>
      </rPr>
      <t>VIJAY KURE</t>
    </r>
  </si>
  <si>
    <r>
      <rPr>
        <sz val="12"/>
        <color indexed="8"/>
        <rFont val="Times New Roman"/>
      </rPr>
      <t>VIJAY KURE</t>
    </r>
  </si>
  <si>
    <r>
      <rPr>
        <sz val="12"/>
        <color indexed="8"/>
        <rFont val="Courier New"/>
      </rPr>
      <t>ANIL BAVAN</t>
    </r>
  </si>
  <si>
    <r>
      <rPr>
        <sz val="12"/>
        <color indexed="8"/>
        <rFont val="Times New Roman"/>
      </rPr>
      <t>ANIL BAVAN</t>
    </r>
  </si>
  <si>
    <r>
      <rPr>
        <sz val="12"/>
        <color indexed="8"/>
        <rFont val="Courier New"/>
      </rPr>
      <t>ANIL WANKH</t>
    </r>
  </si>
  <si>
    <r>
      <rPr>
        <sz val="12"/>
        <color indexed="8"/>
        <rFont val="Times New Roman"/>
      </rPr>
      <t>ANIL WANKH</t>
    </r>
  </si>
  <si>
    <r>
      <rPr>
        <sz val="12"/>
        <color indexed="8"/>
        <rFont val="Courier New"/>
      </rPr>
      <t>PRADIP SHE</t>
    </r>
  </si>
  <si>
    <r>
      <rPr>
        <sz val="12"/>
        <color indexed="8"/>
        <rFont val="Times New Roman"/>
      </rPr>
      <t>PRADIP SHE</t>
    </r>
  </si>
  <si>
    <r>
      <rPr>
        <sz val="12"/>
        <color indexed="8"/>
        <rFont val="Courier New"/>
      </rPr>
      <t>SANDIP[ KH</t>
    </r>
  </si>
  <si>
    <r>
      <rPr>
        <sz val="12"/>
        <color indexed="8"/>
        <rFont val="Times New Roman"/>
      </rPr>
      <t>SANDIP[ KH</t>
    </r>
  </si>
  <si>
    <r>
      <rPr>
        <sz val="12"/>
        <color indexed="8"/>
        <rFont val="Courier New"/>
      </rPr>
      <t>SARANG WAG</t>
    </r>
  </si>
  <si>
    <r>
      <rPr>
        <sz val="12"/>
        <color indexed="8"/>
        <rFont val="Times New Roman"/>
      </rPr>
      <t>SARANG WAG</t>
    </r>
  </si>
  <si>
    <t>SACHIN CHAUDHARI</t>
  </si>
  <si>
    <r>
      <rPr>
        <sz val="12"/>
        <color indexed="8"/>
        <rFont val="Times New Roman"/>
      </rPr>
      <t>SACHIN CHAUDHARI</t>
    </r>
  </si>
  <si>
    <r>
      <rPr>
        <sz val="12"/>
        <color indexed="8"/>
        <rFont val="Courier New"/>
      </rPr>
      <t>SHENGAON</t>
    </r>
  </si>
  <si>
    <r>
      <rPr>
        <sz val="12"/>
        <color indexed="8"/>
        <rFont val="Courier New"/>
      </rPr>
      <t>ARUN KUMAR</t>
    </r>
  </si>
  <si>
    <r>
      <rPr>
        <sz val="12"/>
        <color indexed="8"/>
        <rFont val="Times New Roman"/>
      </rPr>
      <t>ARUN KUMAR</t>
    </r>
  </si>
  <si>
    <t>ADHIK BRICKS</t>
  </si>
  <si>
    <r>
      <rPr>
        <sz val="12"/>
        <color indexed="8"/>
        <rFont val="Times New Roman"/>
      </rPr>
      <t>ADHIK BRICKS</t>
    </r>
  </si>
  <si>
    <r>
      <rPr>
        <sz val="12"/>
        <color indexed="8"/>
        <rFont val="Courier New"/>
      </rPr>
      <t>NAGALA</t>
    </r>
  </si>
  <si>
    <t>ROHAN RAUT</t>
  </si>
  <si>
    <r>
      <rPr>
        <sz val="12"/>
        <color indexed="8"/>
        <rFont val="Times New Roman"/>
      </rPr>
      <t>ROHAN RAUT</t>
    </r>
  </si>
  <si>
    <r>
      <rPr>
        <sz val="12"/>
        <color indexed="8"/>
        <rFont val="Courier New"/>
      </rPr>
      <t>ROHAN RAUT</t>
    </r>
  </si>
  <si>
    <t>PRADIP BUKKAWAR</t>
  </si>
  <si>
    <r>
      <rPr>
        <sz val="12"/>
        <color indexed="8"/>
        <rFont val="Times New Roman"/>
      </rPr>
      <t>PRADIP BUKKAWAR</t>
    </r>
  </si>
  <si>
    <r>
      <rPr>
        <sz val="12"/>
        <color indexed="8"/>
        <rFont val="Courier New"/>
      </rPr>
      <t>MIDC</t>
    </r>
  </si>
  <si>
    <r>
      <rPr>
        <sz val="12"/>
        <color indexed="8"/>
        <rFont val="Courier New"/>
      </rPr>
      <t>RAJENDRA A</t>
    </r>
  </si>
  <si>
    <r>
      <rPr>
        <sz val="12"/>
        <color indexed="8"/>
        <rFont val="Times New Roman"/>
      </rPr>
      <t>RAJENDRA A</t>
    </r>
  </si>
  <si>
    <r>
      <rPr>
        <sz val="12"/>
        <color indexed="8"/>
        <rFont val="Courier New"/>
      </rPr>
      <t>SURESH BUC</t>
    </r>
  </si>
  <si>
    <r>
      <rPr>
        <sz val="12"/>
        <color indexed="8"/>
        <rFont val="Times New Roman"/>
      </rPr>
      <t>SURESH BUC</t>
    </r>
  </si>
  <si>
    <r>
      <rPr>
        <sz val="12"/>
        <color indexed="8"/>
        <rFont val="Courier New"/>
      </rPr>
      <t>SANTOSH PA</t>
    </r>
  </si>
  <si>
    <r>
      <rPr>
        <sz val="12"/>
        <color indexed="8"/>
        <rFont val="Times New Roman"/>
      </rPr>
      <t>SANTOSH PA</t>
    </r>
  </si>
  <si>
    <r>
      <rPr>
        <sz val="12"/>
        <color indexed="8"/>
        <rFont val="Courier New"/>
      </rPr>
      <t>ZINGU MOHA</t>
    </r>
  </si>
  <si>
    <r>
      <rPr>
        <sz val="12"/>
        <color indexed="8"/>
        <rFont val="Times New Roman"/>
      </rPr>
      <t>ZINGU MOHA</t>
    </r>
  </si>
  <si>
    <r>
      <rPr>
        <sz val="12"/>
        <color indexed="8"/>
        <rFont val="Courier New"/>
      </rPr>
      <t>DINESH JUN</t>
    </r>
  </si>
  <si>
    <r>
      <rPr>
        <sz val="12"/>
        <color indexed="8"/>
        <rFont val="Times New Roman"/>
      </rPr>
      <t>DINESH JUN</t>
    </r>
  </si>
  <si>
    <r>
      <rPr>
        <sz val="12"/>
        <color indexed="8"/>
        <rFont val="Courier New"/>
      </rPr>
      <t>GULAB SATG</t>
    </r>
  </si>
  <si>
    <r>
      <rPr>
        <sz val="12"/>
        <color indexed="8"/>
        <rFont val="Times New Roman"/>
      </rPr>
      <t>GULAB SATG</t>
    </r>
  </si>
  <si>
    <r>
      <rPr>
        <sz val="12"/>
        <color indexed="8"/>
        <rFont val="Courier New"/>
      </rPr>
      <t>REVANDAS R</t>
    </r>
  </si>
  <si>
    <r>
      <rPr>
        <sz val="12"/>
        <color indexed="8"/>
        <rFont val="Times New Roman"/>
      </rPr>
      <t>REVANDAS R</t>
    </r>
  </si>
  <si>
    <r>
      <rPr>
        <sz val="12"/>
        <color indexed="8"/>
        <rFont val="Courier New"/>
      </rPr>
      <t>NANDGAON</t>
    </r>
  </si>
  <si>
    <r>
      <rPr>
        <sz val="12"/>
        <color indexed="8"/>
        <rFont val="Courier New"/>
      </rPr>
      <t>SURESH AAW</t>
    </r>
  </si>
  <si>
    <r>
      <rPr>
        <sz val="12"/>
        <color indexed="8"/>
        <rFont val="Times New Roman"/>
      </rPr>
      <t>SURESH AAW</t>
    </r>
  </si>
  <si>
    <t>RAGIT BANDHU TRADERS</t>
  </si>
  <si>
    <r>
      <rPr>
        <sz val="12"/>
        <color indexed="8"/>
        <rFont val="Times New Roman"/>
      </rPr>
      <t>RAGIT BANDHU TRADERS</t>
    </r>
  </si>
  <si>
    <t>RAJU</t>
  </si>
  <si>
    <t>YADAO</t>
  </si>
  <si>
    <r>
      <rPr>
        <sz val="12"/>
        <color indexed="8"/>
        <rFont val="Courier New"/>
      </rPr>
      <t>WADGAON</t>
    </r>
  </si>
  <si>
    <t>MAGIC SPLASH &amp; RESOR</t>
  </si>
  <si>
    <r>
      <rPr>
        <sz val="12"/>
        <color indexed="8"/>
        <rFont val="Times New Roman"/>
      </rPr>
      <t>MAGIC SPLASH &amp; RESOR</t>
    </r>
  </si>
  <si>
    <r>
      <rPr>
        <sz val="12"/>
        <color indexed="8"/>
        <rFont val="Courier New"/>
      </rPr>
      <t>SUNIL SOYA</t>
    </r>
  </si>
  <si>
    <r>
      <rPr>
        <sz val="12"/>
        <color indexed="8"/>
        <rFont val="Times New Roman"/>
      </rPr>
      <t>SUNIL SOYA</t>
    </r>
  </si>
  <si>
    <r>
      <rPr>
        <sz val="12"/>
        <color indexed="8"/>
        <rFont val="Courier New"/>
      </rPr>
      <t>PRADIP BHO</t>
    </r>
  </si>
  <si>
    <r>
      <rPr>
        <sz val="12"/>
        <color indexed="8"/>
        <rFont val="Times New Roman"/>
      </rPr>
      <t>PRADIP BHO</t>
    </r>
  </si>
  <si>
    <r>
      <rPr>
        <sz val="12"/>
        <color indexed="8"/>
        <rFont val="Courier New"/>
      </rPr>
      <t>MANOJ MYAK</t>
    </r>
  </si>
  <si>
    <r>
      <rPr>
        <sz val="12"/>
        <color indexed="8"/>
        <rFont val="Times New Roman"/>
      </rPr>
      <t>MANOJ MYAK</t>
    </r>
  </si>
  <si>
    <r>
      <rPr>
        <sz val="12"/>
        <color indexed="8"/>
        <rFont val="Courier New"/>
      </rPr>
      <t>RAHUL GURA</t>
    </r>
  </si>
  <si>
    <r>
      <rPr>
        <sz val="12"/>
        <color indexed="8"/>
        <rFont val="Times New Roman"/>
      </rPr>
      <t>RAHUL GURA</t>
    </r>
  </si>
  <si>
    <t>VILAS GOURKAR</t>
  </si>
  <si>
    <r>
      <rPr>
        <sz val="12"/>
        <color indexed="8"/>
        <rFont val="Times New Roman"/>
      </rPr>
      <t>VILAS GOURKAR</t>
    </r>
  </si>
  <si>
    <r>
      <rPr>
        <sz val="12"/>
        <color indexed="8"/>
        <rFont val="Courier New"/>
      </rPr>
      <t>NEHARU SCH</t>
    </r>
  </si>
  <si>
    <t>VILAS SONWANE</t>
  </si>
  <si>
    <r>
      <rPr>
        <sz val="12"/>
        <color indexed="8"/>
        <rFont val="Times New Roman"/>
      </rPr>
      <t>VILAS SONWANE</t>
    </r>
  </si>
  <si>
    <r>
      <rPr>
        <sz val="12"/>
        <color indexed="8"/>
        <rFont val="Courier New"/>
      </rPr>
      <t>JAT PALASG</t>
    </r>
  </si>
  <si>
    <r>
      <rPr>
        <sz val="12"/>
        <color indexed="8"/>
        <rFont val="Courier New"/>
      </rPr>
      <t>PRAFUL CHA</t>
    </r>
  </si>
  <si>
    <r>
      <rPr>
        <sz val="12"/>
        <color indexed="8"/>
        <rFont val="Times New Roman"/>
      </rPr>
      <t>PRAFUL CHA</t>
    </r>
  </si>
  <si>
    <r>
      <rPr>
        <sz val="12"/>
        <color indexed="8"/>
        <rFont val="Courier New"/>
      </rPr>
      <t>PRADIP BOD</t>
    </r>
  </si>
  <si>
    <r>
      <rPr>
        <sz val="12"/>
        <color indexed="8"/>
        <rFont val="Times New Roman"/>
      </rPr>
      <t>PRADIP BOD</t>
    </r>
  </si>
  <si>
    <r>
      <rPr>
        <sz val="12"/>
        <color indexed="8"/>
        <rFont val="Courier New"/>
      </rPr>
      <t>BHUMAREDDY</t>
    </r>
  </si>
  <si>
    <r>
      <rPr>
        <sz val="12"/>
        <color indexed="8"/>
        <rFont val="Times New Roman"/>
      </rPr>
      <t>BHUMAREDDY</t>
    </r>
  </si>
  <si>
    <r>
      <rPr>
        <sz val="12"/>
        <color indexed="8"/>
        <rFont val="Courier New"/>
      </rPr>
      <t>PRAVIN AAW</t>
    </r>
  </si>
  <si>
    <r>
      <rPr>
        <sz val="12"/>
        <color indexed="8"/>
        <rFont val="Times New Roman"/>
      </rPr>
      <t>PRAVIN AAW</t>
    </r>
  </si>
  <si>
    <r>
      <rPr>
        <sz val="12"/>
        <color indexed="8"/>
        <rFont val="Courier New"/>
      </rPr>
      <t>SAJAN VELA</t>
    </r>
  </si>
  <si>
    <r>
      <rPr>
        <sz val="12"/>
        <color indexed="8"/>
        <rFont val="Times New Roman"/>
      </rPr>
      <t>SAJAN VELA</t>
    </r>
  </si>
  <si>
    <r>
      <rPr>
        <sz val="12"/>
        <color indexed="8"/>
        <rFont val="Courier New"/>
      </rPr>
      <t>ARUN KARAM</t>
    </r>
  </si>
  <si>
    <r>
      <rPr>
        <sz val="12"/>
        <color indexed="8"/>
        <rFont val="Times New Roman"/>
      </rPr>
      <t>ARUN KARAM</t>
    </r>
  </si>
  <si>
    <t>WADKAR SAHEB</t>
  </si>
  <si>
    <r>
      <rPr>
        <sz val="12"/>
        <color indexed="8"/>
        <rFont val="Times New Roman"/>
      </rPr>
      <t>WADKAR SAHEB</t>
    </r>
  </si>
  <si>
    <r>
      <rPr>
        <sz val="12"/>
        <color indexed="8"/>
        <rFont val="Courier New"/>
      </rPr>
      <t>VIVEK BAVA</t>
    </r>
  </si>
  <si>
    <r>
      <rPr>
        <sz val="12"/>
        <color indexed="8"/>
        <rFont val="Times New Roman"/>
      </rPr>
      <t>VIVEK BAVA</t>
    </r>
  </si>
  <si>
    <t>SUNIL VISHWAKARMA</t>
  </si>
  <si>
    <r>
      <rPr>
        <sz val="12"/>
        <color indexed="8"/>
        <rFont val="Times New Roman"/>
      </rPr>
      <t>SUNIL VISHWAKARMA</t>
    </r>
  </si>
  <si>
    <r>
      <rPr>
        <sz val="12"/>
        <color indexed="8"/>
        <rFont val="Courier New"/>
      </rPr>
      <t>KRISHNA NA</t>
    </r>
  </si>
  <si>
    <t>PRAMOD PUNYAPAWAR</t>
  </si>
  <si>
    <r>
      <rPr>
        <sz val="12"/>
        <color indexed="8"/>
        <rFont val="Times New Roman"/>
      </rPr>
      <t>PRAMOD PUNYAPAWAR</t>
    </r>
  </si>
  <si>
    <r>
      <rPr>
        <sz val="12"/>
        <color indexed="8"/>
        <rFont val="Courier New"/>
      </rPr>
      <t>RAMNAGAR</t>
    </r>
  </si>
  <si>
    <r>
      <rPr>
        <sz val="12"/>
        <color indexed="8"/>
        <rFont val="Courier New"/>
      </rPr>
      <t>CHAGAN BAV</t>
    </r>
  </si>
  <si>
    <r>
      <rPr>
        <sz val="12"/>
        <color indexed="8"/>
        <rFont val="Times New Roman"/>
      </rPr>
      <t>CHAGAN BAV</t>
    </r>
  </si>
  <si>
    <r>
      <rPr>
        <sz val="12"/>
        <color indexed="8"/>
        <rFont val="Courier New"/>
      </rPr>
      <t>PRASHANT G</t>
    </r>
  </si>
  <si>
    <r>
      <rPr>
        <sz val="12"/>
        <color indexed="8"/>
        <rFont val="Times New Roman"/>
      </rPr>
      <t>PRASHANT G</t>
    </r>
  </si>
  <si>
    <r>
      <rPr>
        <sz val="12"/>
        <color indexed="8"/>
        <rFont val="Courier New"/>
      </rPr>
      <t>GANESH WAD</t>
    </r>
  </si>
  <si>
    <r>
      <rPr>
        <sz val="12"/>
        <color indexed="8"/>
        <rFont val="Times New Roman"/>
      </rPr>
      <t>GANESH WAD</t>
    </r>
  </si>
  <si>
    <r>
      <rPr>
        <sz val="12"/>
        <color indexed="8"/>
        <rFont val="Courier New"/>
      </rPr>
      <t>KRISHNA YA</t>
    </r>
  </si>
  <si>
    <r>
      <rPr>
        <sz val="12"/>
        <color indexed="8"/>
        <rFont val="Times New Roman"/>
      </rPr>
      <t>KRISHNA YA</t>
    </r>
  </si>
  <si>
    <t>RAVINDRA OHOD</t>
  </si>
  <si>
    <r>
      <rPr>
        <sz val="12"/>
        <color indexed="8"/>
        <rFont val="Times New Roman"/>
      </rPr>
      <t>RAVINDRA OHOD</t>
    </r>
  </si>
  <si>
    <r>
      <rPr>
        <sz val="12"/>
        <color indexed="8"/>
        <rFont val="Courier New"/>
      </rPr>
      <t>AAKASH TOD</t>
    </r>
  </si>
  <si>
    <r>
      <rPr>
        <sz val="12"/>
        <color indexed="8"/>
        <rFont val="Times New Roman"/>
      </rPr>
      <t>AAKASH TOD</t>
    </r>
  </si>
  <si>
    <t>PANDURANG NAVADE</t>
  </si>
  <si>
    <r>
      <rPr>
        <sz val="12"/>
        <color indexed="8"/>
        <rFont val="Times New Roman"/>
      </rPr>
      <t>PANDURANG NAVADE</t>
    </r>
  </si>
  <si>
    <r>
      <rPr>
        <sz val="12"/>
        <color indexed="8"/>
        <rFont val="Courier New"/>
      </rPr>
      <t>VINOD PIDU</t>
    </r>
  </si>
  <si>
    <r>
      <rPr>
        <sz val="12"/>
        <color indexed="8"/>
        <rFont val="Times New Roman"/>
      </rPr>
      <t>VINOD PIDU</t>
    </r>
  </si>
  <si>
    <r>
      <rPr>
        <sz val="12"/>
        <color indexed="8"/>
        <rFont val="Courier New"/>
      </rPr>
      <t>SHYAM YEDA</t>
    </r>
  </si>
  <si>
    <r>
      <rPr>
        <sz val="12"/>
        <color indexed="8"/>
        <rFont val="Times New Roman"/>
      </rPr>
      <t>SHYAM YEDA</t>
    </r>
  </si>
  <si>
    <r>
      <rPr>
        <sz val="12"/>
        <color indexed="8"/>
        <rFont val="Courier New"/>
      </rPr>
      <t>ANIL KADU</t>
    </r>
  </si>
  <si>
    <r>
      <rPr>
        <sz val="12"/>
        <color indexed="8"/>
        <rFont val="Times New Roman"/>
      </rPr>
      <t>ANIL KADU</t>
    </r>
  </si>
  <si>
    <t>MOUNISH ALI</t>
  </si>
  <si>
    <r>
      <rPr>
        <sz val="12"/>
        <color indexed="8"/>
        <rFont val="Times New Roman"/>
      </rPr>
      <t>MOUNISH ALI</t>
    </r>
  </si>
  <si>
    <r>
      <rPr>
        <sz val="12"/>
        <color indexed="8"/>
        <rFont val="Courier New"/>
      </rPr>
      <t>AJAYPUR</t>
    </r>
  </si>
  <si>
    <r>
      <rPr>
        <sz val="12"/>
        <color indexed="8"/>
        <rFont val="Courier New"/>
      </rPr>
      <t>SATISH KHA</t>
    </r>
  </si>
  <si>
    <r>
      <rPr>
        <sz val="12"/>
        <color indexed="8"/>
        <rFont val="Times New Roman"/>
      </rPr>
      <t>SATISH KHA</t>
    </r>
  </si>
  <si>
    <r>
      <rPr>
        <sz val="12"/>
        <color indexed="8"/>
        <rFont val="Courier New"/>
      </rPr>
      <t>BUKKTE HOS</t>
    </r>
  </si>
  <si>
    <r>
      <rPr>
        <sz val="12"/>
        <color indexed="8"/>
        <rFont val="Courier New"/>
      </rPr>
      <t>MH34BZ6430</t>
    </r>
  </si>
  <si>
    <r>
      <rPr>
        <sz val="12"/>
        <color indexed="8"/>
        <rFont val="Courier New"/>
      </rPr>
      <t>BHALCHANDR</t>
    </r>
  </si>
  <si>
    <r>
      <rPr>
        <sz val="12"/>
        <color indexed="8"/>
        <rFont val="Times New Roman"/>
      </rPr>
      <t>BHALCHANDR</t>
    </r>
  </si>
  <si>
    <r>
      <rPr>
        <sz val="12"/>
        <color indexed="8"/>
        <rFont val="Courier New"/>
      </rPr>
      <t>RAHUL KHOD</t>
    </r>
  </si>
  <si>
    <r>
      <rPr>
        <sz val="12"/>
        <color indexed="8"/>
        <rFont val="Times New Roman"/>
      </rPr>
      <t>RAHUL KHOD</t>
    </r>
  </si>
  <si>
    <r>
      <rPr>
        <sz val="12"/>
        <color indexed="8"/>
        <rFont val="Courier New"/>
      </rPr>
      <t>MH34BZ3482</t>
    </r>
  </si>
  <si>
    <r>
      <rPr>
        <sz val="12"/>
        <color indexed="8"/>
        <rFont val="Courier New"/>
      </rPr>
      <t>GANESH GOH</t>
    </r>
  </si>
  <si>
    <r>
      <rPr>
        <sz val="12"/>
        <color indexed="8"/>
        <rFont val="Times New Roman"/>
      </rPr>
      <t>GANESH GOH</t>
    </r>
  </si>
  <si>
    <r>
      <rPr>
        <sz val="12"/>
        <color indexed="8"/>
        <rFont val="Courier New"/>
      </rPr>
      <t>GAJANAN TU</t>
    </r>
  </si>
  <si>
    <r>
      <rPr>
        <sz val="12"/>
        <color indexed="8"/>
        <rFont val="Times New Roman"/>
      </rPr>
      <t>GAJANAN TU</t>
    </r>
  </si>
  <si>
    <r>
      <rPr>
        <sz val="12"/>
        <color indexed="8"/>
        <rFont val="Courier New"/>
      </rPr>
      <t>LAXMAN UDE</t>
    </r>
  </si>
  <si>
    <r>
      <rPr>
        <sz val="12"/>
        <color indexed="8"/>
        <rFont val="Times New Roman"/>
      </rPr>
      <t>LAXMAN UDE</t>
    </r>
  </si>
  <si>
    <r>
      <rPr>
        <sz val="12"/>
        <color indexed="8"/>
        <rFont val="Courier New"/>
      </rPr>
      <t>MAROTI GAV</t>
    </r>
  </si>
  <si>
    <r>
      <rPr>
        <sz val="12"/>
        <color indexed="8"/>
        <rFont val="Times New Roman"/>
      </rPr>
      <t>MAROTI GAV</t>
    </r>
  </si>
  <si>
    <r>
      <rPr>
        <sz val="12"/>
        <color indexed="8"/>
        <rFont val="Courier New"/>
      </rPr>
      <t>SHANKAR SO</t>
    </r>
  </si>
  <si>
    <r>
      <rPr>
        <sz val="12"/>
        <color indexed="8"/>
        <rFont val="Times New Roman"/>
      </rPr>
      <t>SHANKAR SO</t>
    </r>
  </si>
  <si>
    <r>
      <rPr>
        <sz val="12"/>
        <color indexed="8"/>
        <rFont val="Courier New"/>
      </rPr>
      <t>GANESH AAD</t>
    </r>
  </si>
  <si>
    <r>
      <rPr>
        <sz val="12"/>
        <color indexed="8"/>
        <rFont val="Times New Roman"/>
      </rPr>
      <t>GANESH AAD</t>
    </r>
  </si>
  <si>
    <r>
      <rPr>
        <sz val="12"/>
        <color indexed="8"/>
        <rFont val="Courier New"/>
      </rPr>
      <t>SANDESH KU</t>
    </r>
  </si>
  <si>
    <r>
      <rPr>
        <sz val="12"/>
        <color indexed="8"/>
        <rFont val="Times New Roman"/>
      </rPr>
      <t>SANDESH KU</t>
    </r>
  </si>
  <si>
    <t>PRADIP MASIRKAR</t>
  </si>
  <si>
    <r>
      <rPr>
        <sz val="12"/>
        <color indexed="8"/>
        <rFont val="Times New Roman"/>
      </rPr>
      <t>PRADIP MASIRKAR</t>
    </r>
  </si>
  <si>
    <r>
      <rPr>
        <sz val="12"/>
        <color indexed="8"/>
        <rFont val="Courier New"/>
      </rPr>
      <t>MUKUTBAN</t>
    </r>
  </si>
  <si>
    <r>
      <rPr>
        <sz val="12"/>
        <color indexed="8"/>
        <rFont val="Courier New"/>
      </rPr>
      <t>SANGITA SA</t>
    </r>
  </si>
  <si>
    <r>
      <rPr>
        <sz val="12"/>
        <color indexed="8"/>
        <rFont val="Times New Roman"/>
      </rPr>
      <t>SANGITA SA</t>
    </r>
  </si>
  <si>
    <r>
      <rPr>
        <sz val="12"/>
        <color indexed="8"/>
        <rFont val="Courier New"/>
      </rPr>
      <t>JAGAN THEK</t>
    </r>
  </si>
  <si>
    <r>
      <rPr>
        <sz val="12"/>
        <color indexed="8"/>
        <rFont val="Times New Roman"/>
      </rPr>
      <t>JAGAN THEK</t>
    </r>
  </si>
  <si>
    <r>
      <rPr>
        <sz val="12"/>
        <color indexed="8"/>
        <rFont val="Courier New"/>
      </rPr>
      <t>SANKET PAW</t>
    </r>
  </si>
  <si>
    <r>
      <rPr>
        <sz val="12"/>
        <color indexed="8"/>
        <rFont val="Times New Roman"/>
      </rPr>
      <t>SANKET PAW</t>
    </r>
  </si>
  <si>
    <t>GAJANAN DHOLE</t>
  </si>
  <si>
    <r>
      <rPr>
        <sz val="12"/>
        <color indexed="8"/>
        <rFont val="Times New Roman"/>
      </rPr>
      <t>GAJANAN DHOLE</t>
    </r>
  </si>
  <si>
    <r>
      <rPr>
        <sz val="12"/>
        <color indexed="8"/>
        <rFont val="Courier New"/>
      </rPr>
      <t>RUIKOT</t>
    </r>
  </si>
  <si>
    <r>
      <rPr>
        <sz val="12"/>
        <color indexed="8"/>
        <rFont val="Courier New"/>
      </rPr>
      <t>BHARAT TOD</t>
    </r>
  </si>
  <si>
    <r>
      <rPr>
        <sz val="12"/>
        <color indexed="8"/>
        <rFont val="Times New Roman"/>
      </rPr>
      <t>BHARAT TOD</t>
    </r>
  </si>
  <si>
    <t>KEWAL THEKEDAR</t>
  </si>
  <si>
    <r>
      <rPr>
        <sz val="12"/>
        <color indexed="8"/>
        <rFont val="Times New Roman"/>
      </rPr>
      <t>KEWAL THEKEDAR</t>
    </r>
  </si>
  <si>
    <r>
      <rPr>
        <sz val="12"/>
        <color indexed="8"/>
        <rFont val="Courier New"/>
      </rPr>
      <t>VITTHAL MA</t>
    </r>
  </si>
  <si>
    <t>ROSHAN HASANI</t>
  </si>
  <si>
    <r>
      <rPr>
        <sz val="12"/>
        <color indexed="8"/>
        <rFont val="Times New Roman"/>
      </rPr>
      <t>ROSHAN HASANI</t>
    </r>
  </si>
  <si>
    <t>SANDIP TURKIYAL</t>
  </si>
  <si>
    <r>
      <rPr>
        <sz val="12"/>
        <color indexed="8"/>
        <rFont val="Times New Roman"/>
      </rPr>
      <t>SANDIP TURKIYAL</t>
    </r>
  </si>
  <si>
    <r>
      <rPr>
        <sz val="12"/>
        <color indexed="8"/>
        <rFont val="Courier New"/>
      </rPr>
      <t>PATHANPURA</t>
    </r>
  </si>
  <si>
    <t>DEVANAND THEKEDAR</t>
  </si>
  <si>
    <r>
      <rPr>
        <sz val="12"/>
        <color indexed="8"/>
        <rFont val="Times New Roman"/>
      </rPr>
      <t>DEVANAND THEKEDAR</t>
    </r>
  </si>
  <si>
    <r>
      <rPr>
        <sz val="12"/>
        <color indexed="8"/>
        <rFont val="Courier New"/>
      </rPr>
      <t>KORPANA</t>
    </r>
  </si>
  <si>
    <r>
      <rPr>
        <sz val="12"/>
        <color indexed="8"/>
        <rFont val="Courier New"/>
      </rPr>
      <t>TULSIRAM P</t>
    </r>
  </si>
  <si>
    <r>
      <rPr>
        <sz val="12"/>
        <color indexed="8"/>
        <rFont val="Times New Roman"/>
      </rPr>
      <t>TULSIRAM P</t>
    </r>
  </si>
  <si>
    <r>
      <rPr>
        <sz val="12"/>
        <color indexed="8"/>
        <rFont val="Courier New"/>
      </rPr>
      <t>SQ IMRAN</t>
    </r>
  </si>
  <si>
    <r>
      <rPr>
        <sz val="12"/>
        <color indexed="8"/>
        <rFont val="Times New Roman"/>
      </rPr>
      <t>SQ IMRAN</t>
    </r>
  </si>
  <si>
    <r>
      <rPr>
        <sz val="12"/>
        <color indexed="8"/>
        <rFont val="Courier New"/>
      </rPr>
      <t>BORKAR NIM</t>
    </r>
  </si>
  <si>
    <r>
      <rPr>
        <sz val="12"/>
        <color indexed="8"/>
        <rFont val="Times New Roman"/>
      </rPr>
      <t>BORKAR NIM</t>
    </r>
  </si>
  <si>
    <r>
      <rPr>
        <sz val="12"/>
        <color indexed="8"/>
        <rFont val="Courier New"/>
      </rPr>
      <t>ISHWAR AAT</t>
    </r>
  </si>
  <si>
    <r>
      <rPr>
        <sz val="12"/>
        <color indexed="8"/>
        <rFont val="Times New Roman"/>
      </rPr>
      <t>ISHWAR AAT</t>
    </r>
  </si>
  <si>
    <r>
      <rPr>
        <sz val="12"/>
        <color indexed="8"/>
        <rFont val="Courier New"/>
      </rPr>
      <t>SHANKAR ME</t>
    </r>
  </si>
  <si>
    <r>
      <rPr>
        <sz val="12"/>
        <color indexed="8"/>
        <rFont val="Times New Roman"/>
      </rPr>
      <t>SHANKAR ME</t>
    </r>
  </si>
  <si>
    <r>
      <rPr>
        <sz val="12"/>
        <color indexed="8"/>
        <rFont val="Courier New"/>
      </rPr>
      <t>WNDHRI</t>
    </r>
  </si>
  <si>
    <t>HARISH POTDUKHE</t>
  </si>
  <si>
    <r>
      <rPr>
        <sz val="12"/>
        <color indexed="8"/>
        <rFont val="Times New Roman"/>
      </rPr>
      <t>HARISH POTDUKHE</t>
    </r>
  </si>
  <si>
    <r>
      <rPr>
        <sz val="12"/>
        <color indexed="8"/>
        <rFont val="Courier New"/>
      </rPr>
      <t>GOLDEN BAR</t>
    </r>
  </si>
  <si>
    <t>PRAVIN BACHALE</t>
  </si>
  <si>
    <r>
      <rPr>
        <sz val="12"/>
        <color indexed="8"/>
        <rFont val="Times New Roman"/>
      </rPr>
      <t>PRAVIN BACHALE</t>
    </r>
  </si>
  <si>
    <r>
      <rPr>
        <sz val="12"/>
        <color indexed="8"/>
        <rFont val="Courier New"/>
      </rPr>
      <t>DATALA</t>
    </r>
  </si>
  <si>
    <t>CHANDRASHEKHAR ITANK</t>
  </si>
  <si>
    <r>
      <rPr>
        <sz val="12"/>
        <color indexed="8"/>
        <rFont val="Times New Roman"/>
      </rPr>
      <t>CHANDRASHEKHAR ITANK</t>
    </r>
  </si>
  <si>
    <r>
      <rPr>
        <sz val="12"/>
        <color indexed="8"/>
        <rFont val="Courier New"/>
      </rPr>
      <t>SAINATH PE</t>
    </r>
  </si>
  <si>
    <r>
      <rPr>
        <sz val="12"/>
        <color indexed="8"/>
        <rFont val="Times New Roman"/>
      </rPr>
      <t>SAINATH PE</t>
    </r>
  </si>
  <si>
    <r>
      <rPr>
        <sz val="12"/>
        <color indexed="8"/>
        <rFont val="Courier New"/>
      </rPr>
      <t>PANDIT TIW</t>
    </r>
  </si>
  <si>
    <r>
      <rPr>
        <sz val="12"/>
        <color indexed="8"/>
        <rFont val="Times New Roman"/>
      </rPr>
      <t>PANDIT TIW</t>
    </r>
  </si>
  <si>
    <r>
      <rPr>
        <sz val="12"/>
        <color indexed="8"/>
        <rFont val="Courier New"/>
      </rPr>
      <t>PAWAN GOKH</t>
    </r>
  </si>
  <si>
    <r>
      <rPr>
        <sz val="12"/>
        <color indexed="8"/>
        <rFont val="Times New Roman"/>
      </rPr>
      <t>PAWAN GOKH</t>
    </r>
  </si>
  <si>
    <r>
      <rPr>
        <sz val="12"/>
        <color indexed="8"/>
        <rFont val="Courier New"/>
      </rPr>
      <t>CHADRAPUR</t>
    </r>
  </si>
  <si>
    <r>
      <rPr>
        <sz val="12"/>
        <color indexed="8"/>
        <rFont val="Courier New"/>
      </rPr>
      <t>VIJAY MANU</t>
    </r>
  </si>
  <si>
    <r>
      <rPr>
        <sz val="12"/>
        <color indexed="8"/>
        <rFont val="Times New Roman"/>
      </rPr>
      <t>VIJAY MANU</t>
    </r>
  </si>
  <si>
    <r>
      <rPr>
        <sz val="12"/>
        <color indexed="8"/>
        <rFont val="Courier New"/>
      </rPr>
      <t>PAWANNIKHU</t>
    </r>
  </si>
  <si>
    <r>
      <rPr>
        <sz val="12"/>
        <color indexed="8"/>
        <rFont val="Times New Roman"/>
      </rPr>
      <t>PAWANNIKHU</t>
    </r>
  </si>
  <si>
    <r>
      <rPr>
        <sz val="12"/>
        <color indexed="8"/>
        <rFont val="Courier New"/>
      </rPr>
      <t>ITANKAR</t>
    </r>
  </si>
  <si>
    <r>
      <rPr>
        <sz val="12"/>
        <color indexed="8"/>
        <rFont val="Times New Roman"/>
      </rPr>
      <t>ITANKAR</t>
    </r>
  </si>
  <si>
    <t>SUKHADEO PADOLI FORM</t>
  </si>
  <si>
    <r>
      <rPr>
        <sz val="12"/>
        <color indexed="8"/>
        <rFont val="Times New Roman"/>
      </rPr>
      <t>SUKHADEO PADOLI FORM</t>
    </r>
  </si>
  <si>
    <t>TUKDA</t>
  </si>
  <si>
    <r>
      <rPr>
        <sz val="12"/>
        <color indexed="8"/>
        <rFont val="Courier New"/>
      </rPr>
      <t>JUNI PADOL</t>
    </r>
  </si>
  <si>
    <r>
      <rPr>
        <sz val="12"/>
        <color indexed="8"/>
        <rFont val="Courier New"/>
      </rPr>
      <t>ROSHAN ZOD</t>
    </r>
  </si>
  <si>
    <r>
      <rPr>
        <sz val="12"/>
        <color indexed="8"/>
        <rFont val="Times New Roman"/>
      </rPr>
      <t>ROSHAN ZOD</t>
    </r>
  </si>
  <si>
    <r>
      <rPr>
        <sz val="12"/>
        <color indexed="8"/>
        <rFont val="Courier New"/>
      </rPr>
      <t>ISHWAR PAN</t>
    </r>
  </si>
  <si>
    <r>
      <rPr>
        <sz val="12"/>
        <color indexed="8"/>
        <rFont val="Times New Roman"/>
      </rPr>
      <t>ISHWAR PAN</t>
    </r>
  </si>
  <si>
    <r>
      <rPr>
        <sz val="12"/>
        <color indexed="8"/>
        <rFont val="Courier New"/>
      </rPr>
      <t>RAHUL MARS</t>
    </r>
  </si>
  <si>
    <r>
      <rPr>
        <sz val="12"/>
        <color indexed="8"/>
        <rFont val="Times New Roman"/>
      </rPr>
      <t>RAHUL MARS</t>
    </r>
  </si>
  <si>
    <r>
      <rPr>
        <sz val="12"/>
        <color indexed="8"/>
        <rFont val="Courier New"/>
      </rPr>
      <t>VILAS KATK</t>
    </r>
  </si>
  <si>
    <r>
      <rPr>
        <sz val="12"/>
        <color indexed="8"/>
        <rFont val="Times New Roman"/>
      </rPr>
      <t>VILAS KATK</t>
    </r>
  </si>
  <si>
    <r>
      <rPr>
        <sz val="12"/>
        <color indexed="8"/>
        <rFont val="Courier New"/>
      </rPr>
      <t>MORESHWAR</t>
    </r>
  </si>
  <si>
    <r>
      <rPr>
        <sz val="12"/>
        <color indexed="8"/>
        <rFont val="Times New Roman"/>
      </rPr>
      <t>MORESHWAR</t>
    </r>
  </si>
  <si>
    <t>MAHESH SONKULWAR</t>
  </si>
  <si>
    <r>
      <rPr>
        <sz val="12"/>
        <color indexed="8"/>
        <rFont val="Times New Roman"/>
      </rPr>
      <t>MAHESH SONKULWAR</t>
    </r>
  </si>
  <si>
    <r>
      <rPr>
        <sz val="12"/>
        <color indexed="8"/>
        <rFont val="Courier New"/>
      </rPr>
      <t>DHABA</t>
    </r>
  </si>
  <si>
    <r>
      <rPr>
        <sz val="12"/>
        <color indexed="8"/>
        <rFont val="Courier New"/>
      </rPr>
      <t>AJAY BAVAN</t>
    </r>
  </si>
  <si>
    <r>
      <rPr>
        <sz val="12"/>
        <color indexed="8"/>
        <rFont val="Times New Roman"/>
      </rPr>
      <t>AJAY BAVAN</t>
    </r>
  </si>
  <si>
    <t>SURAJ NAGULWAR</t>
  </si>
  <si>
    <r>
      <rPr>
        <sz val="12"/>
        <color indexed="8"/>
        <rFont val="Times New Roman"/>
      </rPr>
      <t>SURAJ NAGULWAR</t>
    </r>
  </si>
  <si>
    <r>
      <rPr>
        <sz val="12"/>
        <color indexed="8"/>
        <rFont val="Courier New"/>
      </rPr>
      <t>DADMAL WAR</t>
    </r>
  </si>
  <si>
    <t>SATYAVIJAY PIMPALKAR</t>
  </si>
  <si>
    <r>
      <rPr>
        <sz val="12"/>
        <color indexed="8"/>
        <rFont val="Times New Roman"/>
      </rPr>
      <t>SATYAVIJAY PIMPALKAR</t>
    </r>
  </si>
  <si>
    <r>
      <rPr>
        <sz val="12"/>
        <color indexed="8"/>
        <rFont val="Courier New"/>
      </rPr>
      <t>INDIRA NAG</t>
    </r>
  </si>
  <si>
    <t>DR. VIJAY URADE</t>
  </si>
  <si>
    <r>
      <rPr>
        <sz val="12"/>
        <color indexed="8"/>
        <rFont val="Times New Roman"/>
      </rPr>
      <t>DR. VIJAY URADE</t>
    </r>
  </si>
  <si>
    <r>
      <rPr>
        <sz val="12"/>
        <color indexed="8"/>
        <rFont val="Courier New"/>
      </rPr>
      <t>JATPURA</t>
    </r>
  </si>
  <si>
    <r>
      <rPr>
        <sz val="12"/>
        <color indexed="8"/>
        <rFont val="Courier New"/>
      </rPr>
      <t>NITIN KAVA</t>
    </r>
  </si>
  <si>
    <r>
      <rPr>
        <sz val="12"/>
        <color indexed="8"/>
        <rFont val="Times New Roman"/>
      </rPr>
      <t>NITIN KAVA</t>
    </r>
  </si>
  <si>
    <r>
      <rPr>
        <sz val="12"/>
        <color indexed="8"/>
        <rFont val="Courier New"/>
      </rPr>
      <t>ANIL MOHIT</t>
    </r>
  </si>
  <si>
    <r>
      <rPr>
        <sz val="12"/>
        <color indexed="8"/>
        <rFont val="Times New Roman"/>
      </rPr>
      <t>ANIL MOHIT</t>
    </r>
  </si>
  <si>
    <r>
      <rPr>
        <sz val="12"/>
        <color indexed="8"/>
        <rFont val="Courier New"/>
      </rPr>
      <t>MAHESH YEL</t>
    </r>
  </si>
  <si>
    <r>
      <rPr>
        <sz val="12"/>
        <color indexed="8"/>
        <rFont val="Times New Roman"/>
      </rPr>
      <t>MAHESH YEL</t>
    </r>
  </si>
  <si>
    <r>
      <rPr>
        <sz val="12"/>
        <color indexed="8"/>
        <rFont val="Courier New"/>
      </rPr>
      <t>TUKARAM AA</t>
    </r>
  </si>
  <si>
    <r>
      <rPr>
        <sz val="12"/>
        <color indexed="8"/>
        <rFont val="Times New Roman"/>
      </rPr>
      <t>TUKARAM AA</t>
    </r>
  </si>
  <si>
    <r>
      <rPr>
        <sz val="12"/>
        <color indexed="8"/>
        <rFont val="Courier New"/>
      </rPr>
      <t>PARAM NIKU</t>
    </r>
  </si>
  <si>
    <r>
      <rPr>
        <sz val="12"/>
        <color indexed="8"/>
        <rFont val="Times New Roman"/>
      </rPr>
      <t>PARAM NIKU</t>
    </r>
  </si>
  <si>
    <r>
      <rPr>
        <sz val="12"/>
        <color indexed="8"/>
        <rFont val="Courier New"/>
      </rPr>
      <t>ZADE HOSPI</t>
    </r>
  </si>
  <si>
    <r>
      <rPr>
        <sz val="12"/>
        <color indexed="8"/>
        <rFont val="Courier New"/>
      </rPr>
      <t>DIRGAPUR</t>
    </r>
  </si>
  <si>
    <r>
      <rPr>
        <sz val="12"/>
        <color indexed="8"/>
        <rFont val="Courier New"/>
      </rPr>
      <t>TUKESH DHA</t>
    </r>
  </si>
  <si>
    <r>
      <rPr>
        <sz val="12"/>
        <color indexed="8"/>
        <rFont val="Times New Roman"/>
      </rPr>
      <t>TUKESH DHA</t>
    </r>
  </si>
  <si>
    <t>BSCPL INFRASTRUCTURE</t>
  </si>
  <si>
    <r>
      <rPr>
        <sz val="12"/>
        <color indexed="8"/>
        <rFont val="Times New Roman"/>
      </rPr>
      <t>BSCPL INFRASTRUCTURE</t>
    </r>
  </si>
  <si>
    <r>
      <rPr>
        <sz val="12"/>
        <color indexed="8"/>
        <rFont val="Courier New"/>
      </rPr>
      <t>GOVARDHAN</t>
    </r>
  </si>
  <si>
    <r>
      <rPr>
        <sz val="12"/>
        <color indexed="8"/>
        <rFont val="Courier New"/>
      </rPr>
      <t>DATTU AGIR</t>
    </r>
  </si>
  <si>
    <r>
      <rPr>
        <sz val="12"/>
        <color indexed="8"/>
        <rFont val="Times New Roman"/>
      </rPr>
      <t>DATTU AGIR</t>
    </r>
  </si>
  <si>
    <r>
      <rPr>
        <sz val="12"/>
        <color indexed="8"/>
        <rFont val="Courier New"/>
      </rPr>
      <t>DESHKAR</t>
    </r>
  </si>
  <si>
    <r>
      <rPr>
        <sz val="12"/>
        <color indexed="8"/>
        <rFont val="Times New Roman"/>
      </rPr>
      <t>DESHKAR</t>
    </r>
  </si>
  <si>
    <r>
      <rPr>
        <sz val="12"/>
        <color indexed="8"/>
        <rFont val="Courier New"/>
      </rPr>
      <t>SHEKHANNA</t>
    </r>
  </si>
  <si>
    <r>
      <rPr>
        <sz val="12"/>
        <color indexed="8"/>
        <rFont val="Times New Roman"/>
      </rPr>
      <t>SHEKHANNA</t>
    </r>
  </si>
  <si>
    <r>
      <rPr>
        <sz val="12"/>
        <color indexed="8"/>
        <rFont val="Courier New"/>
      </rPr>
      <t>PURSHOTAM</t>
    </r>
  </si>
  <si>
    <r>
      <rPr>
        <sz val="12"/>
        <color indexed="8"/>
        <rFont val="Times New Roman"/>
      </rPr>
      <t>PURSHOTAM</t>
    </r>
  </si>
  <si>
    <r>
      <rPr>
        <sz val="12"/>
        <color indexed="8"/>
        <rFont val="Courier New"/>
      </rPr>
      <t>MH34AP1132</t>
    </r>
  </si>
  <si>
    <r>
      <rPr>
        <sz val="12"/>
        <color indexed="8"/>
        <rFont val="Courier New"/>
      </rPr>
      <t>NEHARU NAG</t>
    </r>
  </si>
  <si>
    <t>H K PETROLIUM</t>
  </si>
  <si>
    <r>
      <rPr>
        <sz val="12"/>
        <color indexed="8"/>
        <rFont val="Times New Roman"/>
      </rPr>
      <t>H K PETROLIUM</t>
    </r>
  </si>
  <si>
    <r>
      <rPr>
        <sz val="12"/>
        <color indexed="8"/>
        <rFont val="Courier New"/>
      </rPr>
      <t>RAM LEADER</t>
    </r>
  </si>
  <si>
    <r>
      <rPr>
        <sz val="12"/>
        <color indexed="8"/>
        <rFont val="Times New Roman"/>
      </rPr>
      <t>RAM LEADER</t>
    </r>
  </si>
  <si>
    <r>
      <rPr>
        <sz val="12"/>
        <color indexed="8"/>
        <rFont val="Courier New"/>
      </rPr>
      <t>WANDHARI</t>
    </r>
  </si>
  <si>
    <t>CEMENT ISSUE</t>
  </si>
  <si>
    <r>
      <rPr>
        <sz val="12"/>
        <color indexed="8"/>
        <rFont val="Courier New"/>
      </rPr>
      <t>UMESH BHOY</t>
    </r>
  </si>
  <si>
    <r>
      <rPr>
        <sz val="12"/>
        <color indexed="8"/>
        <rFont val="Times New Roman"/>
      </rPr>
      <t>UMESH BHOY</t>
    </r>
  </si>
  <si>
    <r>
      <rPr>
        <sz val="12"/>
        <color indexed="8"/>
        <rFont val="Courier New"/>
      </rPr>
      <t>NARESH GUR</t>
    </r>
  </si>
  <si>
    <r>
      <rPr>
        <sz val="12"/>
        <color indexed="8"/>
        <rFont val="Times New Roman"/>
      </rPr>
      <t>NARESH GUR</t>
    </r>
  </si>
  <si>
    <r>
      <rPr>
        <sz val="12"/>
        <color indexed="8"/>
        <rFont val="Courier New"/>
      </rPr>
      <t>MADHUKAR R</t>
    </r>
  </si>
  <si>
    <r>
      <rPr>
        <sz val="12"/>
        <color indexed="8"/>
        <rFont val="Times New Roman"/>
      </rPr>
      <t>MADHUKAR R</t>
    </r>
  </si>
  <si>
    <r>
      <rPr>
        <sz val="12"/>
        <color indexed="8"/>
        <rFont val="Courier New"/>
      </rPr>
      <t>CHARAN DEW</t>
    </r>
  </si>
  <si>
    <r>
      <rPr>
        <sz val="12"/>
        <color indexed="8"/>
        <rFont val="Times New Roman"/>
      </rPr>
      <t>CHARAN DEW</t>
    </r>
  </si>
  <si>
    <r>
      <rPr>
        <sz val="12"/>
        <color indexed="8"/>
        <rFont val="Courier New"/>
      </rPr>
      <t>VIJAY DHOK</t>
    </r>
  </si>
  <si>
    <r>
      <rPr>
        <sz val="12"/>
        <color indexed="8"/>
        <rFont val="Times New Roman"/>
      </rPr>
      <t>VIJAY DHOK</t>
    </r>
  </si>
  <si>
    <r>
      <rPr>
        <sz val="12"/>
        <color indexed="8"/>
        <rFont val="Courier New"/>
      </rPr>
      <t>SUNY BETWA</t>
    </r>
  </si>
  <si>
    <r>
      <rPr>
        <sz val="12"/>
        <color indexed="8"/>
        <rFont val="Times New Roman"/>
      </rPr>
      <t>SUNY BETWA</t>
    </r>
  </si>
  <si>
    <r>
      <rPr>
        <sz val="12"/>
        <color indexed="8"/>
        <rFont val="Courier New"/>
      </rPr>
      <t>NIWALKAR</t>
    </r>
  </si>
  <si>
    <r>
      <rPr>
        <sz val="12"/>
        <color indexed="8"/>
        <rFont val="Times New Roman"/>
      </rPr>
      <t>NIWALKAR</t>
    </r>
  </si>
  <si>
    <r>
      <rPr>
        <sz val="12"/>
        <color indexed="8"/>
        <rFont val="Courier New"/>
      </rPr>
      <t>BAGLA CKOU</t>
    </r>
  </si>
  <si>
    <r>
      <rPr>
        <sz val="12"/>
        <color indexed="8"/>
        <rFont val="Courier New"/>
      </rPr>
      <t>NETAGI CHO</t>
    </r>
  </si>
  <si>
    <r>
      <rPr>
        <sz val="12"/>
        <color indexed="8"/>
        <rFont val="Courier New"/>
      </rPr>
      <t>DINESH K</t>
    </r>
  </si>
  <si>
    <r>
      <rPr>
        <sz val="12"/>
        <color indexed="8"/>
        <rFont val="Times New Roman"/>
      </rPr>
      <t>DINESH K</t>
    </r>
  </si>
  <si>
    <r>
      <rPr>
        <sz val="12"/>
        <color indexed="8"/>
        <rFont val="Courier New"/>
      </rPr>
      <t>SURESH NAG</t>
    </r>
  </si>
  <si>
    <r>
      <rPr>
        <sz val="12"/>
        <color indexed="8"/>
        <rFont val="Times New Roman"/>
      </rPr>
      <t>SURESH NAG</t>
    </r>
  </si>
  <si>
    <r>
      <rPr>
        <sz val="12"/>
        <color indexed="8"/>
        <rFont val="Courier New"/>
      </rPr>
      <t>ARUN CHINN</t>
    </r>
  </si>
  <si>
    <r>
      <rPr>
        <sz val="12"/>
        <color indexed="8"/>
        <rFont val="Times New Roman"/>
      </rPr>
      <t>ARUN CHINN</t>
    </r>
  </si>
  <si>
    <r>
      <rPr>
        <sz val="12"/>
        <color indexed="8"/>
        <rFont val="Courier New"/>
      </rPr>
      <t>ANIL NAGRA</t>
    </r>
  </si>
  <si>
    <r>
      <rPr>
        <sz val="12"/>
        <color indexed="8"/>
        <rFont val="Times New Roman"/>
      </rPr>
      <t>ANIL NAGRA</t>
    </r>
  </si>
  <si>
    <r>
      <rPr>
        <sz val="12"/>
        <color indexed="8"/>
        <rFont val="Courier New"/>
      </rPr>
      <t>RAMESH SHI</t>
    </r>
  </si>
  <si>
    <r>
      <rPr>
        <sz val="12"/>
        <color indexed="8"/>
        <rFont val="Times New Roman"/>
      </rPr>
      <t>RAMESH SHI</t>
    </r>
  </si>
  <si>
    <r>
      <rPr>
        <sz val="12"/>
        <color indexed="8"/>
        <rFont val="Courier New"/>
      </rPr>
      <t>SUBHASH SA</t>
    </r>
  </si>
  <si>
    <r>
      <rPr>
        <sz val="12"/>
        <color indexed="8"/>
        <rFont val="Times New Roman"/>
      </rPr>
      <t>SUBHASH SA</t>
    </r>
  </si>
  <si>
    <r>
      <rPr>
        <sz val="12"/>
        <color indexed="8"/>
        <rFont val="Courier New"/>
      </rPr>
      <t>RAMESH PAI</t>
    </r>
  </si>
  <si>
    <r>
      <rPr>
        <sz val="12"/>
        <color indexed="8"/>
        <rFont val="Times New Roman"/>
      </rPr>
      <t>RAMESH PAI</t>
    </r>
  </si>
  <si>
    <r>
      <rPr>
        <sz val="12"/>
        <color indexed="8"/>
        <rFont val="Courier New"/>
      </rPr>
      <t>GHANSHYAM</t>
    </r>
  </si>
  <si>
    <r>
      <rPr>
        <sz val="12"/>
        <color indexed="8"/>
        <rFont val="Times New Roman"/>
      </rPr>
      <t>GHANSHYAM</t>
    </r>
  </si>
  <si>
    <r>
      <rPr>
        <sz val="12"/>
        <color indexed="8"/>
        <rFont val="Courier New"/>
      </rPr>
      <t>VIJAY WASE</t>
    </r>
  </si>
  <si>
    <r>
      <rPr>
        <sz val="12"/>
        <color indexed="8"/>
        <rFont val="Times New Roman"/>
      </rPr>
      <t>VIJAY WASE</t>
    </r>
  </si>
  <si>
    <r>
      <rPr>
        <sz val="12"/>
        <color indexed="8"/>
        <rFont val="Courier New"/>
      </rPr>
      <t>PARMESHWAR</t>
    </r>
  </si>
  <si>
    <r>
      <rPr>
        <sz val="12"/>
        <color indexed="8"/>
        <rFont val="Times New Roman"/>
      </rPr>
      <t>PARMESHWAR</t>
    </r>
  </si>
  <si>
    <r>
      <rPr>
        <sz val="12"/>
        <color indexed="8"/>
        <rFont val="Courier New"/>
      </rPr>
      <t>IJAT KHAN</t>
    </r>
  </si>
  <si>
    <r>
      <rPr>
        <sz val="12"/>
        <color indexed="8"/>
        <rFont val="Times New Roman"/>
      </rPr>
      <t>IJAT KHAN</t>
    </r>
  </si>
  <si>
    <t>AAKASH JANAVE</t>
  </si>
  <si>
    <r>
      <rPr>
        <sz val="12"/>
        <color indexed="8"/>
        <rFont val="Times New Roman"/>
      </rPr>
      <t>AAKASH JANAVE</t>
    </r>
  </si>
  <si>
    <r>
      <rPr>
        <sz val="12"/>
        <color indexed="8"/>
        <rFont val="Courier New"/>
      </rPr>
      <t>DADMAL</t>
    </r>
  </si>
  <si>
    <r>
      <rPr>
        <sz val="12"/>
        <color indexed="8"/>
        <rFont val="Courier New"/>
      </rPr>
      <t>MAYA BHOYA</t>
    </r>
  </si>
  <si>
    <r>
      <rPr>
        <sz val="12"/>
        <color indexed="8"/>
        <rFont val="Times New Roman"/>
      </rPr>
      <t>MAYA BHOYA</t>
    </r>
  </si>
  <si>
    <r>
      <rPr>
        <sz val="12"/>
        <color indexed="8"/>
        <rFont val="Courier New"/>
      </rPr>
      <t>SAINATH BH</t>
    </r>
  </si>
  <si>
    <r>
      <rPr>
        <sz val="12"/>
        <color indexed="8"/>
        <rFont val="Times New Roman"/>
      </rPr>
      <t>SAINATH BH</t>
    </r>
  </si>
  <si>
    <r>
      <rPr>
        <sz val="12"/>
        <color indexed="8"/>
        <rFont val="Courier New"/>
      </rPr>
      <t>CHANDRAKAN</t>
    </r>
  </si>
  <si>
    <r>
      <rPr>
        <sz val="12"/>
        <color indexed="8"/>
        <rFont val="Times New Roman"/>
      </rPr>
      <t>CHANDRAKAN</t>
    </r>
  </si>
  <si>
    <r>
      <rPr>
        <sz val="12"/>
        <color indexed="8"/>
        <rFont val="Courier New"/>
      </rPr>
      <t>SURSH BUCC</t>
    </r>
  </si>
  <si>
    <r>
      <rPr>
        <sz val="12"/>
        <color indexed="8"/>
        <rFont val="Times New Roman"/>
      </rPr>
      <t>SURSH BUCC</t>
    </r>
  </si>
  <si>
    <r>
      <rPr>
        <sz val="12"/>
        <color indexed="8"/>
        <rFont val="Courier New"/>
      </rPr>
      <t>MADIKUNTAW</t>
    </r>
  </si>
  <si>
    <r>
      <rPr>
        <sz val="12"/>
        <color indexed="8"/>
        <rFont val="Times New Roman"/>
      </rPr>
      <t>MADIKUNTAW</t>
    </r>
  </si>
  <si>
    <r>
      <rPr>
        <sz val="12"/>
        <color indexed="8"/>
        <rFont val="Courier New"/>
      </rPr>
      <t>SUDHAKAR N</t>
    </r>
  </si>
  <si>
    <r>
      <rPr>
        <sz val="12"/>
        <color indexed="8"/>
        <rFont val="Times New Roman"/>
      </rPr>
      <t>SUDHAKAR N</t>
    </r>
  </si>
  <si>
    <r>
      <rPr>
        <sz val="12"/>
        <color indexed="8"/>
        <rFont val="Courier New"/>
      </rPr>
      <t>KARAMARKAR</t>
    </r>
  </si>
  <si>
    <r>
      <rPr>
        <sz val="12"/>
        <color indexed="8"/>
        <rFont val="Times New Roman"/>
      </rPr>
      <t>KARAMARKAR</t>
    </r>
  </si>
  <si>
    <r>
      <rPr>
        <sz val="12"/>
        <color indexed="8"/>
        <rFont val="Courier New"/>
      </rPr>
      <t>SANTOSH TH</t>
    </r>
  </si>
  <si>
    <r>
      <rPr>
        <sz val="12"/>
        <color indexed="8"/>
        <rFont val="Times New Roman"/>
      </rPr>
      <t>SANTOSH TH</t>
    </r>
  </si>
  <si>
    <r>
      <rPr>
        <sz val="12"/>
        <color indexed="8"/>
        <rFont val="Courier New"/>
      </rPr>
      <t>DATTU ANGI</t>
    </r>
  </si>
  <si>
    <r>
      <rPr>
        <sz val="12"/>
        <color indexed="8"/>
        <rFont val="Times New Roman"/>
      </rPr>
      <t>DATTU ANGI</t>
    </r>
  </si>
  <si>
    <r>
      <rPr>
        <sz val="12"/>
        <color indexed="8"/>
        <rFont val="Courier New"/>
      </rPr>
      <t>DATTU ANIL</t>
    </r>
  </si>
  <si>
    <r>
      <rPr>
        <sz val="12"/>
        <color indexed="8"/>
        <rFont val="Times New Roman"/>
      </rPr>
      <t>DATTU ANIL</t>
    </r>
  </si>
  <si>
    <r>
      <rPr>
        <sz val="12"/>
        <color indexed="8"/>
        <rFont val="Courier New"/>
      </rPr>
      <t>ST WORK</t>
    </r>
  </si>
  <si>
    <r>
      <rPr>
        <sz val="12"/>
        <color indexed="8"/>
        <rFont val="Courier New"/>
      </rPr>
      <t>AMOL URKUD</t>
    </r>
  </si>
  <si>
    <r>
      <rPr>
        <sz val="12"/>
        <color indexed="8"/>
        <rFont val="Times New Roman"/>
      </rPr>
      <t>AMOL URKUD</t>
    </r>
  </si>
  <si>
    <r>
      <rPr>
        <sz val="12"/>
        <color indexed="8"/>
        <rFont val="Courier New"/>
      </rPr>
      <t>SWAPNIL NA</t>
    </r>
  </si>
  <si>
    <r>
      <rPr>
        <sz val="12"/>
        <color indexed="8"/>
        <rFont val="Times New Roman"/>
      </rPr>
      <t>SWAPNIL NA</t>
    </r>
  </si>
  <si>
    <r>
      <rPr>
        <sz val="12"/>
        <color indexed="8"/>
        <rFont val="Courier New"/>
      </rPr>
      <t>VIJAY PAL</t>
    </r>
  </si>
  <si>
    <r>
      <rPr>
        <sz val="12"/>
        <color indexed="8"/>
        <rFont val="Times New Roman"/>
      </rPr>
      <t>VIJAY PAL</t>
    </r>
  </si>
  <si>
    <r>
      <rPr>
        <sz val="12"/>
        <color indexed="8"/>
        <rFont val="Courier New"/>
      </rPr>
      <t>AMOL ZADE</t>
    </r>
  </si>
  <si>
    <r>
      <rPr>
        <sz val="12"/>
        <color indexed="8"/>
        <rFont val="Times New Roman"/>
      </rPr>
      <t>AMOL ZADE</t>
    </r>
  </si>
  <si>
    <r>
      <rPr>
        <sz val="12"/>
        <color indexed="8"/>
        <rFont val="Courier New"/>
      </rPr>
      <t>AAKASH LAD</t>
    </r>
  </si>
  <si>
    <r>
      <rPr>
        <sz val="12"/>
        <color indexed="8"/>
        <rFont val="Times New Roman"/>
      </rPr>
      <t>AAKASH LAD</t>
    </r>
  </si>
  <si>
    <r>
      <rPr>
        <sz val="12"/>
        <color indexed="8"/>
        <rFont val="Courier New"/>
      </rPr>
      <t>S T WORK</t>
    </r>
  </si>
  <si>
    <t>VAIBHAV CHAUDHARI</t>
  </si>
  <si>
    <r>
      <rPr>
        <sz val="12"/>
        <color indexed="8"/>
        <rFont val="Times New Roman"/>
      </rPr>
      <t>VAIBHAV CHAUDHARI</t>
    </r>
  </si>
  <si>
    <r>
      <rPr>
        <sz val="12"/>
        <color indexed="8"/>
        <rFont val="Courier New"/>
      </rPr>
      <t>VITTAL MAN</t>
    </r>
  </si>
  <si>
    <r>
      <rPr>
        <sz val="12"/>
        <color indexed="8"/>
        <rFont val="Courier New"/>
      </rPr>
      <t>IRFAN SHEI</t>
    </r>
  </si>
  <si>
    <r>
      <rPr>
        <sz val="12"/>
        <color indexed="8"/>
        <rFont val="Times New Roman"/>
      </rPr>
      <t>IRFAN SHEI</t>
    </r>
  </si>
  <si>
    <r>
      <rPr>
        <sz val="12"/>
        <color indexed="8"/>
        <rFont val="Courier New"/>
      </rPr>
      <t>RAVINDRA M</t>
    </r>
  </si>
  <si>
    <r>
      <rPr>
        <sz val="12"/>
        <color indexed="8"/>
        <rFont val="Times New Roman"/>
      </rPr>
      <t>RAVINDRA M</t>
    </r>
  </si>
  <si>
    <r>
      <rPr>
        <sz val="12"/>
        <color indexed="8"/>
        <rFont val="Courier New"/>
      </rPr>
      <t>YOGESH AVA</t>
    </r>
  </si>
  <si>
    <r>
      <rPr>
        <sz val="12"/>
        <color indexed="8"/>
        <rFont val="Times New Roman"/>
      </rPr>
      <t>YOGESH AVA</t>
    </r>
  </si>
  <si>
    <r>
      <rPr>
        <sz val="12"/>
        <color indexed="8"/>
        <rFont val="Courier New"/>
      </rPr>
      <t>MANGESH KE</t>
    </r>
  </si>
  <si>
    <r>
      <rPr>
        <sz val="12"/>
        <color indexed="8"/>
        <rFont val="Times New Roman"/>
      </rPr>
      <t>MANGESH KE</t>
    </r>
  </si>
  <si>
    <r>
      <rPr>
        <sz val="12"/>
        <color indexed="8"/>
        <rFont val="Courier New"/>
      </rPr>
      <t>VAIBHAV TH</t>
    </r>
  </si>
  <si>
    <r>
      <rPr>
        <sz val="12"/>
        <color indexed="8"/>
        <rFont val="Times New Roman"/>
      </rPr>
      <t>VAIBHAV TH</t>
    </r>
  </si>
  <si>
    <r>
      <rPr>
        <sz val="12"/>
        <color indexed="8"/>
        <rFont val="Courier New"/>
      </rPr>
      <t>HUSSAIN SH</t>
    </r>
  </si>
  <si>
    <r>
      <rPr>
        <sz val="12"/>
        <color indexed="8"/>
        <rFont val="Times New Roman"/>
      </rPr>
      <t>HUSSAIN SH</t>
    </r>
  </si>
  <si>
    <r>
      <rPr>
        <sz val="12"/>
        <color indexed="8"/>
        <rFont val="Courier New"/>
      </rPr>
      <t>RAJESH KAD</t>
    </r>
  </si>
  <si>
    <r>
      <rPr>
        <sz val="12"/>
        <color indexed="8"/>
        <rFont val="Times New Roman"/>
      </rPr>
      <t>RAJESH KAD</t>
    </r>
  </si>
  <si>
    <t>SONAL SHEVATE</t>
  </si>
  <si>
    <r>
      <rPr>
        <sz val="12"/>
        <color indexed="8"/>
        <rFont val="Times New Roman"/>
      </rPr>
      <t>SONAL SHEVATE</t>
    </r>
  </si>
  <si>
    <r>
      <rPr>
        <sz val="12"/>
        <color indexed="8"/>
        <rFont val="Courier New"/>
      </rPr>
      <t>AYAPPA MAN</t>
    </r>
  </si>
  <si>
    <t>ATUL VAIDYA</t>
  </si>
  <si>
    <r>
      <rPr>
        <sz val="12"/>
        <color indexed="8"/>
        <rFont val="Times New Roman"/>
      </rPr>
      <t>ATUL VAIDYA</t>
    </r>
  </si>
  <si>
    <r>
      <rPr>
        <sz val="12"/>
        <color indexed="8"/>
        <rFont val="Courier New"/>
      </rPr>
      <t>YERUR</t>
    </r>
  </si>
  <si>
    <r>
      <rPr>
        <sz val="12"/>
        <color indexed="8"/>
        <rFont val="Courier New"/>
      </rPr>
      <t>PRASHANT M</t>
    </r>
  </si>
  <si>
    <r>
      <rPr>
        <sz val="12"/>
        <color indexed="8"/>
        <rFont val="Times New Roman"/>
      </rPr>
      <t>PRASHANT M</t>
    </r>
  </si>
  <si>
    <r>
      <rPr>
        <sz val="12"/>
        <color indexed="8"/>
        <rFont val="Courier New"/>
      </rPr>
      <t>AMIT LONGA</t>
    </r>
  </si>
  <si>
    <r>
      <rPr>
        <sz val="12"/>
        <color indexed="8"/>
        <rFont val="Times New Roman"/>
      </rPr>
      <t>AMIT LONGA</t>
    </r>
  </si>
  <si>
    <t>SAIYYAD HANIF</t>
  </si>
  <si>
    <r>
      <rPr>
        <sz val="12"/>
        <color indexed="8"/>
        <rFont val="Times New Roman"/>
      </rPr>
      <t>SAIYYAD HANIF</t>
    </r>
  </si>
  <si>
    <r>
      <rPr>
        <sz val="12"/>
        <color indexed="8"/>
        <rFont val="Courier New"/>
      </rPr>
      <t>RADHIKA SA</t>
    </r>
  </si>
  <si>
    <t>SAMIKSHA CONSTRUCTIO</t>
  </si>
  <si>
    <r>
      <rPr>
        <sz val="12"/>
        <color indexed="8"/>
        <rFont val="Times New Roman"/>
      </rPr>
      <t>SAMIKSHA CONSTRUCTIO</t>
    </r>
  </si>
  <si>
    <r>
      <rPr>
        <sz val="12"/>
        <color indexed="8"/>
        <rFont val="Courier New"/>
      </rPr>
      <t>SHANKAR KU</t>
    </r>
  </si>
  <si>
    <r>
      <rPr>
        <sz val="12"/>
        <color indexed="8"/>
        <rFont val="Times New Roman"/>
      </rPr>
      <t>SHANKAR KU</t>
    </r>
  </si>
  <si>
    <r>
      <rPr>
        <sz val="12"/>
        <color indexed="8"/>
        <rFont val="Courier New"/>
      </rPr>
      <t>NILESH CHO</t>
    </r>
  </si>
  <si>
    <r>
      <rPr>
        <sz val="12"/>
        <color indexed="8"/>
        <rFont val="Times New Roman"/>
      </rPr>
      <t>NILESH CHO</t>
    </r>
  </si>
  <si>
    <r>
      <rPr>
        <sz val="12"/>
        <color indexed="8"/>
        <rFont val="Courier New"/>
      </rPr>
      <t>BABUPEH</t>
    </r>
  </si>
  <si>
    <r>
      <rPr>
        <sz val="12"/>
        <color indexed="8"/>
        <rFont val="Courier New"/>
      </rPr>
      <t>AAKASH TAD</t>
    </r>
  </si>
  <si>
    <r>
      <rPr>
        <sz val="12"/>
        <color indexed="8"/>
        <rFont val="Times New Roman"/>
      </rPr>
      <t>AAKASH TAD</t>
    </r>
  </si>
  <si>
    <r>
      <rPr>
        <sz val="12"/>
        <color indexed="8"/>
        <rFont val="Courier New"/>
      </rPr>
      <t>JUNONA CHO</t>
    </r>
  </si>
  <si>
    <t>ANIL</t>
  </si>
  <si>
    <t>GORE</t>
  </si>
  <si>
    <r>
      <rPr>
        <sz val="12"/>
        <color indexed="8"/>
        <rFont val="Times New Roman"/>
      </rPr>
      <t>ANIL GORE</t>
    </r>
  </si>
  <si>
    <r>
      <rPr>
        <sz val="12"/>
        <color indexed="8"/>
        <rFont val="Courier New"/>
      </rPr>
      <t>RASHTRAWAD</t>
    </r>
  </si>
  <si>
    <r>
      <rPr>
        <sz val="12"/>
        <color indexed="8"/>
        <rFont val="Courier New"/>
      </rPr>
      <t>UMESH MILM</t>
    </r>
  </si>
  <si>
    <r>
      <rPr>
        <sz val="12"/>
        <color indexed="8"/>
        <rFont val="Times New Roman"/>
      </rPr>
      <t>UMESH MILM</t>
    </r>
  </si>
  <si>
    <t>ATUL</t>
  </si>
  <si>
    <t>VAIDYA</t>
  </si>
  <si>
    <r>
      <rPr>
        <sz val="12"/>
        <color indexed="8"/>
        <rFont val="Courier New"/>
      </rPr>
      <t>SUNIL SURW</t>
    </r>
  </si>
  <si>
    <r>
      <rPr>
        <sz val="12"/>
        <color indexed="8"/>
        <rFont val="Times New Roman"/>
      </rPr>
      <t>SUNIL SURW</t>
    </r>
  </si>
  <si>
    <r>
      <rPr>
        <sz val="12"/>
        <color indexed="8"/>
        <rFont val="Courier New"/>
      </rPr>
      <t>RAJU JUNGH</t>
    </r>
  </si>
  <si>
    <r>
      <rPr>
        <sz val="12"/>
        <color indexed="8"/>
        <rFont val="Times New Roman"/>
      </rPr>
      <t>RAJU JUNGH</t>
    </r>
  </si>
  <si>
    <r>
      <rPr>
        <sz val="12"/>
        <color indexed="8"/>
        <rFont val="Courier New"/>
      </rPr>
      <t>OM BANDURK</t>
    </r>
  </si>
  <si>
    <r>
      <rPr>
        <sz val="12"/>
        <color indexed="8"/>
        <rFont val="Times New Roman"/>
      </rPr>
      <t>OM BANDURK</t>
    </r>
  </si>
  <si>
    <r>
      <rPr>
        <sz val="12"/>
        <color indexed="8"/>
        <rFont val="Courier New"/>
      </rPr>
      <t>ASHOK BHAT</t>
    </r>
  </si>
  <si>
    <r>
      <rPr>
        <sz val="12"/>
        <color indexed="8"/>
        <rFont val="Times New Roman"/>
      </rPr>
      <t>ASHOK BHAT</t>
    </r>
  </si>
  <si>
    <r>
      <rPr>
        <sz val="12"/>
        <color indexed="8"/>
        <rFont val="Courier New"/>
      </rPr>
      <t>SANDIP KAD</t>
    </r>
  </si>
  <si>
    <r>
      <rPr>
        <sz val="12"/>
        <color indexed="8"/>
        <rFont val="Times New Roman"/>
      </rPr>
      <t>SANDIP KAD</t>
    </r>
  </si>
  <si>
    <t>SHAILESH BANGADE</t>
  </si>
  <si>
    <r>
      <rPr>
        <sz val="12"/>
        <color indexed="8"/>
        <rFont val="Times New Roman"/>
      </rPr>
      <t>SHAILESH BANGADE</t>
    </r>
  </si>
  <si>
    <t>SHUBHAM GONDANE</t>
  </si>
  <si>
    <r>
      <rPr>
        <sz val="12"/>
        <color indexed="8"/>
        <rFont val="Times New Roman"/>
      </rPr>
      <t>SHUBHAM GONDANE</t>
    </r>
  </si>
  <si>
    <t>SHUBHAM GAOTURE</t>
  </si>
  <si>
    <r>
      <rPr>
        <sz val="12"/>
        <color indexed="8"/>
        <rFont val="Times New Roman"/>
      </rPr>
      <t>SHUBHAM GAOTURE</t>
    </r>
  </si>
  <si>
    <r>
      <rPr>
        <sz val="12"/>
        <color indexed="8"/>
        <rFont val="Courier New"/>
      </rPr>
      <t>SANJAY GUN</t>
    </r>
  </si>
  <si>
    <r>
      <rPr>
        <sz val="12"/>
        <color indexed="8"/>
        <rFont val="Times New Roman"/>
      </rPr>
      <t>SANJAY GUN</t>
    </r>
  </si>
  <si>
    <t>ANIL GADDAMWAR</t>
  </si>
  <si>
    <r>
      <rPr>
        <sz val="12"/>
        <color indexed="8"/>
        <rFont val="Times New Roman"/>
      </rPr>
      <t>ANIL GADDAMWAR</t>
    </r>
  </si>
  <si>
    <r>
      <rPr>
        <sz val="12"/>
        <color indexed="8"/>
        <rFont val="Courier New"/>
      </rPr>
      <t>MORAWA</t>
    </r>
  </si>
  <si>
    <r>
      <rPr>
        <sz val="12"/>
        <color indexed="8"/>
        <rFont val="Courier New"/>
      </rPr>
      <t>JAGDISH PO</t>
    </r>
  </si>
  <si>
    <r>
      <rPr>
        <sz val="12"/>
        <color indexed="8"/>
        <rFont val="Times New Roman"/>
      </rPr>
      <t>JAGDISH PO</t>
    </r>
  </si>
  <si>
    <r>
      <rPr>
        <sz val="12"/>
        <color indexed="8"/>
        <rFont val="Courier New"/>
      </rPr>
      <t>GAURAO PAN</t>
    </r>
  </si>
  <si>
    <r>
      <rPr>
        <sz val="12"/>
        <color indexed="8"/>
        <rFont val="Times New Roman"/>
      </rPr>
      <t>GAURAO PAN</t>
    </r>
  </si>
  <si>
    <t>GANESH UDAKWAR</t>
  </si>
  <si>
    <r>
      <rPr>
        <sz val="12"/>
        <color indexed="8"/>
        <rFont val="Times New Roman"/>
      </rPr>
      <t>GANESH UDAKWAR</t>
    </r>
  </si>
  <si>
    <t>RAFIQ SHEIKH</t>
  </si>
  <si>
    <r>
      <rPr>
        <sz val="12"/>
        <color indexed="8"/>
        <rFont val="Times New Roman"/>
      </rPr>
      <t>RAFIQ SHEIKH</t>
    </r>
  </si>
  <si>
    <r>
      <rPr>
        <sz val="12"/>
        <color indexed="8"/>
        <rFont val="Courier New"/>
      </rPr>
      <t>ANCHALESHW</t>
    </r>
  </si>
  <si>
    <r>
      <rPr>
        <sz val="12"/>
        <color indexed="8"/>
        <rFont val="Courier New"/>
      </rPr>
      <t>SHUBHAM RA</t>
    </r>
  </si>
  <si>
    <r>
      <rPr>
        <sz val="12"/>
        <color indexed="8"/>
        <rFont val="Times New Roman"/>
      </rPr>
      <t>SHUBHAM RA</t>
    </r>
  </si>
  <si>
    <r>
      <rPr>
        <sz val="12"/>
        <color indexed="8"/>
        <rFont val="Courier New"/>
      </rPr>
      <t>DADAI MAND</t>
    </r>
  </si>
  <si>
    <r>
      <rPr>
        <sz val="12"/>
        <color indexed="8"/>
        <rFont val="Times New Roman"/>
      </rPr>
      <t>DADAI MAND</t>
    </r>
  </si>
  <si>
    <r>
      <rPr>
        <sz val="12"/>
        <color indexed="8"/>
        <rFont val="Courier New"/>
      </rPr>
      <t>PRAMOD JAW</t>
    </r>
  </si>
  <si>
    <r>
      <rPr>
        <sz val="12"/>
        <color indexed="8"/>
        <rFont val="Times New Roman"/>
      </rPr>
      <t>PRAMOD JAW</t>
    </r>
  </si>
  <si>
    <t>MORESHWAR GOVINDWAR</t>
  </si>
  <si>
    <r>
      <rPr>
        <sz val="12"/>
        <color indexed="8"/>
        <rFont val="Times New Roman"/>
      </rPr>
      <t>MORESHWAR GOVINDWAR</t>
    </r>
  </si>
  <si>
    <r>
      <rPr>
        <sz val="12"/>
        <color indexed="8"/>
        <rFont val="Courier New"/>
      </rPr>
      <t>TULASI NAG</t>
    </r>
  </si>
  <si>
    <r>
      <rPr>
        <sz val="12"/>
        <color indexed="8"/>
        <rFont val="Courier New"/>
      </rPr>
      <t>SAI MANDIR</t>
    </r>
  </si>
  <si>
    <r>
      <rPr>
        <sz val="12"/>
        <color indexed="8"/>
        <rFont val="Courier New"/>
      </rPr>
      <t>BANDU GODB</t>
    </r>
  </si>
  <si>
    <r>
      <rPr>
        <sz val="12"/>
        <color indexed="8"/>
        <rFont val="Times New Roman"/>
      </rPr>
      <t>BANDU GODB</t>
    </r>
  </si>
  <si>
    <r>
      <rPr>
        <sz val="12"/>
        <color indexed="8"/>
        <rFont val="Courier New"/>
      </rPr>
      <t>SUNYY BETW</t>
    </r>
  </si>
  <si>
    <r>
      <rPr>
        <sz val="12"/>
        <color indexed="8"/>
        <rFont val="Times New Roman"/>
      </rPr>
      <t>SUNYY BETW</t>
    </r>
  </si>
  <si>
    <r>
      <rPr>
        <sz val="12"/>
        <color indexed="8"/>
        <rFont val="Courier New"/>
      </rPr>
      <t>PRATHAM TI</t>
    </r>
  </si>
  <si>
    <r>
      <rPr>
        <sz val="12"/>
        <color indexed="8"/>
        <rFont val="Times New Roman"/>
      </rPr>
      <t>PRATHAM TI</t>
    </r>
  </si>
  <si>
    <t>ABHAY AATRAM</t>
  </si>
  <si>
    <r>
      <rPr>
        <sz val="12"/>
        <color indexed="8"/>
        <rFont val="Times New Roman"/>
      </rPr>
      <t>ABHAY AATRAM</t>
    </r>
  </si>
  <si>
    <r>
      <rPr>
        <sz val="12"/>
        <color indexed="8"/>
        <rFont val="Courier New"/>
      </rPr>
      <t>GAJANAN NA</t>
    </r>
  </si>
  <si>
    <r>
      <rPr>
        <sz val="12"/>
        <color indexed="8"/>
        <rFont val="Courier New"/>
      </rPr>
      <t>KARADBHANJ</t>
    </r>
  </si>
  <si>
    <r>
      <rPr>
        <sz val="12"/>
        <color indexed="8"/>
        <rFont val="Times New Roman"/>
      </rPr>
      <t>KARADBHANJ</t>
    </r>
  </si>
  <si>
    <r>
      <rPr>
        <sz val="12"/>
        <color indexed="8"/>
        <rFont val="Courier New"/>
      </rPr>
      <t>NILESH KAL</t>
    </r>
  </si>
  <si>
    <r>
      <rPr>
        <sz val="12"/>
        <color indexed="8"/>
        <rFont val="Times New Roman"/>
      </rPr>
      <t>NILESH KAL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</si>
</sst>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8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Times New Roman"/>
    </font>
    <font>
      <b val="1"/>
      <sz val="13"/>
      <color indexed="8"/>
      <name val="Times New Roman"/>
    </font>
    <font>
      <sz val="12"/>
      <color indexed="8"/>
      <name val="Times Roman"/>
    </font>
    <font>
      <sz val="13"/>
      <color indexed="8"/>
      <name val="Times New Roman"/>
    </font>
    <font>
      <sz val="7"/>
      <color indexed="8"/>
      <name val="Courier New"/>
    </font>
    <font>
      <sz val="12"/>
      <color indexed="8"/>
      <name val="Courier Ne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3" borderId="2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wrapText="1"/>
    </xf>
    <xf numFmtId="59" fontId="2" borderId="3" applyNumberFormat="1" applyFont="1" applyFill="0" applyBorder="1" applyAlignment="1" applyProtection="0">
      <alignment horizontal="center" vertical="center" wrapText="1"/>
    </xf>
    <xf numFmtId="1" fontId="2" borderId="3" applyNumberFormat="1" applyFont="1" applyFill="0" applyBorder="1" applyAlignment="1" applyProtection="0">
      <alignment horizontal="center" vertical="center" wrapText="1"/>
    </xf>
    <xf numFmtId="49" fontId="5" fillId="2" borderId="3" applyNumberFormat="1" applyFont="1" applyFill="1" applyBorder="1" applyAlignment="1" applyProtection="0">
      <alignment horizontal="left" vertical="top" wrapText="1"/>
    </xf>
    <xf numFmtId="0" fontId="6" fillId="2" borderId="3" applyNumberFormat="0" applyFont="1" applyFill="1" applyBorder="1" applyAlignment="1" applyProtection="0">
      <alignment horizontal="left" vertical="top" wrapText="1"/>
    </xf>
    <xf numFmtId="0" fontId="2" fillId="2" borderId="3" applyNumberFormat="0" applyFont="1" applyFill="1" applyBorder="1" applyAlignment="1" applyProtection="0">
      <alignment horizontal="center" vertical="center" wrapText="1"/>
    </xf>
    <xf numFmtId="49" fontId="2" fillId="2" borderId="3" applyNumberFormat="1" applyFont="1" applyFill="1" applyBorder="1" applyAlignment="1" applyProtection="0">
      <alignment horizontal="center" vertical="center" wrapText="1"/>
    </xf>
    <xf numFmtId="2" fontId="2" borderId="3" applyNumberFormat="1" applyFont="1" applyFill="0" applyBorder="1" applyAlignment="1" applyProtection="0">
      <alignment horizontal="center" vertical="center" wrapText="1"/>
    </xf>
    <xf numFmtId="59" fontId="2" borderId="4" applyNumberFormat="1" applyFont="1" applyFill="0" applyBorder="1" applyAlignment="1" applyProtection="0">
      <alignment horizontal="center" vertical="center" wrapText="1"/>
    </xf>
    <xf numFmtId="1" fontId="2" borderId="4" applyNumberFormat="1" applyFont="1" applyFill="0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left" vertical="top" wrapText="1"/>
    </xf>
    <xf numFmtId="0" fontId="6" fillId="2" borderId="4" applyNumberFormat="0" applyFont="1" applyFill="1" applyBorder="1" applyAlignment="1" applyProtection="0">
      <alignment horizontal="left" vertical="top" wrapText="1"/>
    </xf>
    <xf numFmtId="0" fontId="2" fillId="2" borderId="4" applyNumberFormat="0" applyFont="1" applyFill="1" applyBorder="1" applyAlignment="1" applyProtection="0">
      <alignment horizontal="center" vertical="center" wrapText="1"/>
    </xf>
    <xf numFmtId="49" fontId="2" fillId="2" borderId="4" applyNumberFormat="1" applyFont="1" applyFill="1" applyBorder="1" applyAlignment="1" applyProtection="0">
      <alignment horizontal="center" vertical="center" wrapText="1"/>
    </xf>
    <xf numFmtId="2" fontId="2" borderId="4" applyNumberFormat="1" applyFont="1" applyFill="0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top" wrapText="1"/>
    </xf>
    <xf numFmtId="59" fontId="2" borderId="2" applyNumberFormat="1" applyFont="1" applyFill="0" applyBorder="1" applyAlignment="1" applyProtection="0">
      <alignment horizontal="center" vertical="center" wrapText="1"/>
    </xf>
    <xf numFmtId="1" fontId="2" borderId="2" applyNumberFormat="1" applyFont="1" applyFill="0" applyBorder="1" applyAlignment="1" applyProtection="0">
      <alignment horizontal="center" vertical="center" wrapText="1"/>
    </xf>
    <xf numFmtId="49" fontId="5" fillId="2" borderId="2" applyNumberFormat="1" applyFont="1" applyFill="1" applyBorder="1" applyAlignment="1" applyProtection="0">
      <alignment horizontal="left" vertical="top" wrapText="1"/>
    </xf>
    <xf numFmtId="0" fontId="6" fillId="2" borderId="2" applyNumberFormat="0" applyFont="1" applyFill="1" applyBorder="1" applyAlignment="1" applyProtection="0">
      <alignment horizontal="left" vertical="top" wrapText="1"/>
    </xf>
    <xf numFmtId="0" fontId="2" fillId="2" borderId="2" applyNumberFormat="0" applyFont="1" applyFill="1" applyBorder="1" applyAlignment="1" applyProtection="0">
      <alignment horizontal="center" vertical="center" wrapText="1"/>
    </xf>
    <xf numFmtId="49" fontId="2" fillId="2" borderId="2" applyNumberFormat="1" applyFont="1" applyFill="1" applyBorder="1" applyAlignment="1" applyProtection="0">
      <alignment horizontal="center" vertical="center" wrapText="1"/>
    </xf>
    <xf numFmtId="2" fontId="2" borderId="2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Times New Roman"/>
            <a:ea typeface="Times New Roman"/>
            <a:cs typeface="Times New Roman"/>
            <a:sym typeface="Times New Roma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529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" width="16.3516" style="1" customWidth="1"/>
    <col min="3" max="5" hidden="1" width="16.3333" style="1" customWidth="1"/>
    <col min="6" max="13" width="38.3281" style="1" customWidth="1"/>
    <col min="14" max="16384" width="16.3516" style="1" customWidth="1"/>
  </cols>
  <sheetData>
    <row r="1" ht="23.45" customHeight="1">
      <c r="A1" t="s" s="2">
        <v>0</v>
      </c>
      <c r="B1" t="s" s="2">
        <v>1</v>
      </c>
      <c r="C1" s="3"/>
      <c r="D1" s="3"/>
      <c r="E1" s="3"/>
      <c r="F1" s="4"/>
      <c r="G1" t="s" s="5">
        <v>2</v>
      </c>
      <c r="H1" t="s" s="6">
        <v>3</v>
      </c>
      <c r="I1" t="s" s="5">
        <v>4</v>
      </c>
      <c r="J1" s="4"/>
      <c r="K1" s="4"/>
      <c r="L1" t="s" s="5">
        <v>5</v>
      </c>
      <c r="M1" t="s" s="5">
        <v>6</v>
      </c>
    </row>
    <row r="2" ht="23.15" customHeight="1">
      <c r="A2" s="7">
        <v>45748</v>
      </c>
      <c r="B2" s="8">
        <v>1</v>
      </c>
      <c r="C2" t="s" s="9">
        <v>7</v>
      </c>
      <c r="D2" s="10"/>
      <c r="E2" s="10"/>
      <c r="F2" t="str" s="11" cm="1">
        <f t="array" ref="F2">_xlfn.TEXTJOIN(" ",1,C2,D2,E2)</f>
        <v>CASH SALE</v>
      </c>
      <c r="G2" t="s" s="12">
        <v>9</v>
      </c>
      <c r="H2" s="13">
        <v>2500</v>
      </c>
      <c r="I2" s="13">
        <v>5.75</v>
      </c>
      <c r="J2" s="13">
        <v>2500</v>
      </c>
      <c r="K2" t="s" s="12">
        <v>10</v>
      </c>
      <c r="L2" t="s" s="12">
        <v>11</v>
      </c>
      <c r="M2" t="str" s="11" cm="1">
        <f t="array" ref="M2">IF(F2="CASH SALE",K2,F2)</f>
        <v>SANTOSH MA</v>
      </c>
    </row>
    <row r="3" ht="22.8" customHeight="1">
      <c r="A3" s="14">
        <v>45748</v>
      </c>
      <c r="B3" s="15">
        <v>2</v>
      </c>
      <c r="C3" t="s" s="16">
        <v>7</v>
      </c>
      <c r="D3" s="17"/>
      <c r="E3" s="17"/>
      <c r="F3" t="str" s="18" cm="1">
        <f t="array" ref="F3">_xlfn.TEXTJOIN(" ",1,C3,D3,E3)</f>
        <v>CASH SALE</v>
      </c>
      <c r="G3" t="s" s="19">
        <v>9</v>
      </c>
      <c r="H3" s="20">
        <v>2500</v>
      </c>
      <c r="I3" s="20">
        <v>5.3</v>
      </c>
      <c r="J3" s="20">
        <v>2500</v>
      </c>
      <c r="K3" t="s" s="19">
        <v>13</v>
      </c>
      <c r="L3" t="s" s="19">
        <v>11</v>
      </c>
      <c r="M3" t="str" s="18" cm="1">
        <f t="array" ref="M3">IF(F3="CASH SALE",K3,F3)</f>
        <v>SWAPNIL MU</v>
      </c>
    </row>
    <row r="4" ht="22.8" customHeight="1">
      <c r="A4" s="14">
        <v>45748</v>
      </c>
      <c r="B4" s="15">
        <v>3</v>
      </c>
      <c r="C4" t="s" s="16">
        <v>7</v>
      </c>
      <c r="D4" s="17"/>
      <c r="E4" s="17"/>
      <c r="F4" t="str" s="18" cm="1">
        <f t="array" ref="F4">_xlfn.TEXTJOIN(" ",1,C4,D4,E4)</f>
        <v>CASH SALE</v>
      </c>
      <c r="G4" t="s" s="19">
        <v>9</v>
      </c>
      <c r="H4" s="20">
        <v>4000</v>
      </c>
      <c r="I4" s="20">
        <v>5.75</v>
      </c>
      <c r="J4" s="20">
        <v>4000</v>
      </c>
      <c r="K4" t="s" s="19">
        <v>15</v>
      </c>
      <c r="L4" t="s" s="19">
        <v>16</v>
      </c>
      <c r="M4" t="str" s="18" cm="1">
        <f t="array" ref="M4">IF(F4="CASH SALE",K4,F4)</f>
        <v>NARESH MAN</v>
      </c>
    </row>
    <row r="5" ht="22.8" customHeight="1">
      <c r="A5" s="14">
        <v>45748</v>
      </c>
      <c r="B5" s="15">
        <v>4</v>
      </c>
      <c r="C5" t="s" s="16">
        <v>7</v>
      </c>
      <c r="D5" s="17"/>
      <c r="E5" s="17"/>
      <c r="F5" t="str" s="18" cm="1">
        <f t="array" ref="F5">_xlfn.TEXTJOIN(" ",1,C5,D5,E5)</f>
        <v>CASH SALE</v>
      </c>
      <c r="G5" t="s" s="19">
        <v>9</v>
      </c>
      <c r="H5" s="20">
        <v>4000</v>
      </c>
      <c r="I5" s="20">
        <v>5.5</v>
      </c>
      <c r="J5" s="20">
        <v>4000</v>
      </c>
      <c r="K5" t="s" s="19">
        <v>18</v>
      </c>
      <c r="L5" t="s" s="19">
        <v>16</v>
      </c>
      <c r="M5" t="str" s="18" cm="1">
        <f t="array" ref="M5">IF(F5="CASH SALE",K5,F5)</f>
        <v>ARUN GEDEK</v>
      </c>
    </row>
    <row r="6" ht="22.8" customHeight="1">
      <c r="A6" s="14">
        <v>45748</v>
      </c>
      <c r="B6" s="15">
        <v>5</v>
      </c>
      <c r="C6" t="s" s="16">
        <v>7</v>
      </c>
      <c r="D6" s="17"/>
      <c r="E6" s="17"/>
      <c r="F6" t="str" s="18" cm="1">
        <f t="array" ref="F6">_xlfn.TEXTJOIN(" ",1,C6,D6,E6)</f>
        <v>CASH SALE</v>
      </c>
      <c r="G6" t="s" s="19">
        <v>9</v>
      </c>
      <c r="H6" s="20">
        <v>4000</v>
      </c>
      <c r="I6" s="20">
        <v>5.5</v>
      </c>
      <c r="J6" s="20">
        <v>4000</v>
      </c>
      <c r="K6" t="s" s="19">
        <v>20</v>
      </c>
      <c r="L6" t="s" s="19">
        <v>21</v>
      </c>
      <c r="M6" t="str" s="18" cm="1">
        <f t="array" ref="M6">IF(F6="CASH SALE",K6,F6)</f>
        <v>ISHWAR THE</v>
      </c>
    </row>
    <row r="7" ht="22.8" customHeight="1">
      <c r="A7" s="14">
        <v>45748</v>
      </c>
      <c r="B7" s="15">
        <v>6</v>
      </c>
      <c r="C7" t="s" s="16">
        <v>23</v>
      </c>
      <c r="D7" s="17"/>
      <c r="E7" s="17"/>
      <c r="F7" t="str" s="18" cm="1">
        <f t="array" ref="F7">_xlfn.TEXTJOIN(" ",1,C7,D7,E7)</f>
        <v>CANCAL D M</v>
      </c>
      <c r="G7" t="s" s="19">
        <v>25</v>
      </c>
      <c r="H7" s="20">
        <v>1</v>
      </c>
      <c r="I7" s="20">
        <v>1</v>
      </c>
      <c r="J7" s="20">
        <v>1</v>
      </c>
      <c r="K7" s="18"/>
      <c r="L7" s="18"/>
      <c r="M7" t="str" s="18" cm="1">
        <f t="array" ref="M7">IF(F7="CASH SALE",K7,F7)</f>
        <v>CANCAL D M</v>
      </c>
    </row>
    <row r="8" ht="22.8" customHeight="1">
      <c r="A8" s="14">
        <v>45748</v>
      </c>
      <c r="B8" s="15">
        <v>7</v>
      </c>
      <c r="C8" t="s" s="16">
        <v>7</v>
      </c>
      <c r="D8" s="17"/>
      <c r="E8" s="17"/>
      <c r="F8" t="str" s="18" cm="1">
        <f t="array" ref="F8">_xlfn.TEXTJOIN(" ",1,C8,D8,E8)</f>
        <v>CASH SALE</v>
      </c>
      <c r="G8" t="s" s="19">
        <v>9</v>
      </c>
      <c r="H8" s="20">
        <v>3000</v>
      </c>
      <c r="I8" s="20">
        <v>6</v>
      </c>
      <c r="J8" s="20">
        <v>3000</v>
      </c>
      <c r="K8" t="s" s="19">
        <v>26</v>
      </c>
      <c r="L8" t="s" s="19">
        <v>27</v>
      </c>
      <c r="M8" t="str" s="18" cm="1">
        <f t="array" ref="M8">IF(F8="CASH SALE",K8,F8)</f>
        <v>SUNIL RAUT</v>
      </c>
    </row>
    <row r="9" ht="22.8" customHeight="1">
      <c r="A9" s="14">
        <v>45748</v>
      </c>
      <c r="B9" s="15">
        <v>8</v>
      </c>
      <c r="C9" t="s" s="16">
        <v>23</v>
      </c>
      <c r="D9" s="17"/>
      <c r="E9" s="17"/>
      <c r="F9" t="str" s="18" cm="1">
        <f t="array" ref="F9">_xlfn.TEXTJOIN(" ",1,C9,D9,E9)</f>
        <v>CANCAL D M</v>
      </c>
      <c r="G9" t="s" s="19">
        <v>25</v>
      </c>
      <c r="H9" s="20">
        <v>1</v>
      </c>
      <c r="I9" s="20">
        <v>1</v>
      </c>
      <c r="J9" s="20">
        <v>1</v>
      </c>
      <c r="K9" s="18"/>
      <c r="L9" s="18"/>
      <c r="M9" t="str" s="18" cm="1">
        <f t="array" ref="M9">IF(F9="CASH SALE",K9,F9)</f>
        <v>CANCAL D M</v>
      </c>
    </row>
    <row r="10" ht="22.8" customHeight="1">
      <c r="A10" s="14">
        <v>45748</v>
      </c>
      <c r="B10" s="15">
        <v>9</v>
      </c>
      <c r="C10" t="s" s="16">
        <v>7</v>
      </c>
      <c r="D10" s="17"/>
      <c r="E10" s="17"/>
      <c r="F10" t="str" s="18" cm="1">
        <f t="array" ref="F10">_xlfn.TEXTJOIN(" ",1,C10,D10,E10)</f>
        <v>CASH SALE</v>
      </c>
      <c r="G10" t="s" s="19">
        <v>9</v>
      </c>
      <c r="H10" s="20">
        <v>1500</v>
      </c>
      <c r="I10" s="20">
        <v>4.67</v>
      </c>
      <c r="J10" s="20">
        <v>1500</v>
      </c>
      <c r="K10" t="s" s="19">
        <v>29</v>
      </c>
      <c r="L10" t="s" s="19">
        <v>30</v>
      </c>
      <c r="M10" t="str" s="18" cm="1">
        <f t="array" ref="M10">IF(F10="CASH SALE",K10,F10)</f>
        <v>NIKHIL THE</v>
      </c>
    </row>
    <row r="11" ht="22.8" customHeight="1">
      <c r="A11" s="14">
        <v>45748</v>
      </c>
      <c r="B11" s="15">
        <v>10</v>
      </c>
      <c r="C11" t="s" s="16">
        <v>23</v>
      </c>
      <c r="D11" s="17"/>
      <c r="E11" s="17"/>
      <c r="F11" t="str" s="18" cm="1">
        <f t="array" ref="F11">_xlfn.TEXTJOIN(" ",1,C11,D11,E11)</f>
        <v>CANCAL D M</v>
      </c>
      <c r="G11" t="s" s="19">
        <v>25</v>
      </c>
      <c r="H11" s="20">
        <v>1</v>
      </c>
      <c r="I11" s="20">
        <v>1</v>
      </c>
      <c r="J11" s="20">
        <v>1</v>
      </c>
      <c r="K11" s="18"/>
      <c r="L11" s="18"/>
      <c r="M11" t="str" s="18" cm="1">
        <f t="array" ref="M11">IF(F11="CASH SALE",K11,F11)</f>
        <v>CANCAL D M</v>
      </c>
    </row>
    <row r="12" ht="22.8" customHeight="1">
      <c r="A12" s="14">
        <v>45748</v>
      </c>
      <c r="B12" s="15">
        <v>11</v>
      </c>
      <c r="C12" t="s" s="16">
        <v>32</v>
      </c>
      <c r="D12" s="17"/>
      <c r="E12" s="17"/>
      <c r="F12" t="str" s="18" cm="1">
        <f t="array" ref="F12">_xlfn.TEXTJOIN(" ",1,C12,D12,E12)</f>
        <v>NARESH DHORE</v>
      </c>
      <c r="G12" t="s" s="19">
        <v>9</v>
      </c>
      <c r="H12" s="20">
        <v>1500</v>
      </c>
      <c r="I12" s="20">
        <v>5.1</v>
      </c>
      <c r="J12" s="20">
        <v>1500</v>
      </c>
      <c r="K12" t="s" s="19">
        <v>34</v>
      </c>
      <c r="L12" t="s" s="19">
        <v>35</v>
      </c>
      <c r="M12" t="str" s="18" cm="1">
        <f t="array" ref="M12">IF(F12="CASH SALE",K12,F12)</f>
        <v>NARESH DHORE</v>
      </c>
    </row>
    <row r="13" ht="22.8" customHeight="1">
      <c r="A13" s="14">
        <v>45748</v>
      </c>
      <c r="B13" s="15">
        <v>12</v>
      </c>
      <c r="C13" t="s" s="16">
        <v>36</v>
      </c>
      <c r="D13" s="17"/>
      <c r="E13" s="17"/>
      <c r="F13" t="str" s="18" cm="1">
        <f t="array" ref="F13">_xlfn.TEXTJOIN(" ",1,C13,D13,E13)</f>
        <v>ABHAS SINGH</v>
      </c>
      <c r="G13" t="s" s="19">
        <v>9</v>
      </c>
      <c r="H13" s="20">
        <v>1500</v>
      </c>
      <c r="I13" s="20">
        <v>4.5</v>
      </c>
      <c r="J13" s="20">
        <v>1500</v>
      </c>
      <c r="K13" t="s" s="19">
        <v>38</v>
      </c>
      <c r="L13" t="s" s="19">
        <v>35</v>
      </c>
      <c r="M13" t="str" s="18" cm="1">
        <f t="array" ref="M13">IF(F13="CASH SALE",K13,F13)</f>
        <v>ABHAS SINGH</v>
      </c>
    </row>
    <row r="14" ht="22.8" customHeight="1">
      <c r="A14" s="14">
        <v>45748</v>
      </c>
      <c r="B14" s="15">
        <v>13</v>
      </c>
      <c r="C14" t="s" s="16">
        <v>39</v>
      </c>
      <c r="D14" s="17"/>
      <c r="E14" s="17"/>
      <c r="F14" t="str" s="18" cm="1">
        <f t="array" ref="F14">_xlfn.TEXTJOIN(" ",1,C14,D14,E14)</f>
        <v>MANISH TAPASE</v>
      </c>
      <c r="G14" t="s" s="19">
        <v>9</v>
      </c>
      <c r="H14" s="20">
        <v>1500</v>
      </c>
      <c r="I14" s="20">
        <v>4.27</v>
      </c>
      <c r="J14" s="20">
        <v>1500</v>
      </c>
      <c r="K14" t="s" s="19">
        <v>41</v>
      </c>
      <c r="L14" t="s" s="19">
        <v>42</v>
      </c>
      <c r="M14" t="str" s="18" cm="1">
        <f t="array" ref="M14">IF(F14="CASH SALE",K14,F14)</f>
        <v>MANISH TAPASE</v>
      </c>
    </row>
    <row r="15" ht="22.8" customHeight="1">
      <c r="A15" s="14">
        <v>45748</v>
      </c>
      <c r="B15" s="15">
        <v>14</v>
      </c>
      <c r="C15" t="s" s="16">
        <v>43</v>
      </c>
      <c r="D15" s="17"/>
      <c r="E15" s="17"/>
      <c r="F15" t="str" s="18" cm="1">
        <f t="array" ref="F15">_xlfn.TEXTJOIN(" ",1,C15,D15,E15)</f>
        <v>PANDIT PARODHE</v>
      </c>
      <c r="G15" t="s" s="19">
        <v>9</v>
      </c>
      <c r="H15" s="20">
        <v>1500</v>
      </c>
      <c r="I15" s="20">
        <v>5</v>
      </c>
      <c r="J15" s="20">
        <v>1500</v>
      </c>
      <c r="K15" t="s" s="19">
        <v>45</v>
      </c>
      <c r="L15" t="s" s="19">
        <v>42</v>
      </c>
      <c r="M15" t="str" s="18" cm="1">
        <f t="array" ref="M15">IF(F15="CASH SALE",K15,F15)</f>
        <v>PANDIT PARODHE</v>
      </c>
    </row>
    <row r="16" ht="22.8" customHeight="1">
      <c r="A16" s="14">
        <v>45748</v>
      </c>
      <c r="B16" s="15">
        <v>15</v>
      </c>
      <c r="C16" t="s" s="16">
        <v>46</v>
      </c>
      <c r="D16" s="17"/>
      <c r="E16" s="17"/>
      <c r="F16" t="str" s="18" cm="1">
        <f t="array" ref="F16">_xlfn.TEXTJOIN(" ",1,C16,D16,E16)</f>
        <v>ARYAN BUILDERS</v>
      </c>
      <c r="G16" t="s" s="19">
        <v>9</v>
      </c>
      <c r="H16" s="20">
        <v>1500</v>
      </c>
      <c r="I16" s="20">
        <v>4.5</v>
      </c>
      <c r="J16" s="20">
        <v>1500</v>
      </c>
      <c r="K16" t="s" s="19">
        <v>48</v>
      </c>
      <c r="L16" t="s" s="19">
        <v>30</v>
      </c>
      <c r="M16" t="str" s="18" cm="1">
        <f t="array" ref="M16">IF(F16="CASH SALE",K16,F16)</f>
        <v>ARYAN BUILDERS</v>
      </c>
    </row>
    <row r="17" ht="22.8" customHeight="1">
      <c r="A17" s="14">
        <v>45748</v>
      </c>
      <c r="B17" s="15">
        <v>16</v>
      </c>
      <c r="C17" t="s" s="16">
        <v>7</v>
      </c>
      <c r="D17" s="17"/>
      <c r="E17" s="17"/>
      <c r="F17" t="str" s="18" cm="1">
        <f t="array" ref="F17">_xlfn.TEXTJOIN(" ",1,C17,D17,E17)</f>
        <v>CASH SALE</v>
      </c>
      <c r="G17" t="s" s="19">
        <v>9</v>
      </c>
      <c r="H17" s="20">
        <v>3000</v>
      </c>
      <c r="I17" s="20">
        <v>5.2</v>
      </c>
      <c r="J17" s="20">
        <v>3000</v>
      </c>
      <c r="K17" t="s" s="19">
        <v>49</v>
      </c>
      <c r="L17" t="s" s="19">
        <v>27</v>
      </c>
      <c r="M17" t="str" s="18" cm="1">
        <f t="array" ref="M17">IF(F17="CASH SALE",K17,F17)</f>
        <v>SANDIP CHA</v>
      </c>
    </row>
    <row r="18" ht="22.8" customHeight="1">
      <c r="A18" s="14">
        <v>45748</v>
      </c>
      <c r="B18" s="15">
        <v>17</v>
      </c>
      <c r="C18" t="s" s="16">
        <v>7</v>
      </c>
      <c r="D18" s="17"/>
      <c r="E18" s="17"/>
      <c r="F18" t="str" s="18" cm="1">
        <f t="array" ref="F18">_xlfn.TEXTJOIN(" ",1,C18,D18,E18)</f>
        <v>CASH SALE</v>
      </c>
      <c r="G18" t="s" s="19">
        <v>9</v>
      </c>
      <c r="H18" s="20">
        <v>1500</v>
      </c>
      <c r="I18" s="20">
        <v>4.67</v>
      </c>
      <c r="J18" s="20">
        <v>1500</v>
      </c>
      <c r="K18" t="s" s="19">
        <v>51</v>
      </c>
      <c r="L18" t="s" s="19">
        <v>30</v>
      </c>
      <c r="M18" t="str" s="18" cm="1">
        <f t="array" ref="M18">IF(F18="CASH SALE",K18,F18)</f>
        <v>DILIP KAMB</v>
      </c>
    </row>
    <row r="19" ht="22.8" customHeight="1">
      <c r="A19" s="14">
        <v>45748</v>
      </c>
      <c r="B19" s="15">
        <v>18</v>
      </c>
      <c r="C19" t="s" s="16">
        <v>7</v>
      </c>
      <c r="D19" s="17"/>
      <c r="E19" s="17"/>
      <c r="F19" t="str" s="18" cm="1">
        <f t="array" ref="F19">_xlfn.TEXTJOIN(" ",1,C19,D19,E19)</f>
        <v>CASH SALE</v>
      </c>
      <c r="G19" t="s" s="19">
        <v>9</v>
      </c>
      <c r="H19" s="20">
        <v>1500</v>
      </c>
      <c r="I19" s="20">
        <v>4.6</v>
      </c>
      <c r="J19" s="20">
        <v>1500</v>
      </c>
      <c r="K19" t="s" s="19">
        <v>53</v>
      </c>
      <c r="L19" t="s" s="19">
        <v>42</v>
      </c>
      <c r="M19" t="str" s="18" cm="1">
        <f t="array" ref="M19">IF(F19="CASH SALE",K19,F19)</f>
        <v>SWAPNIL SA</v>
      </c>
    </row>
    <row r="20" ht="22.8" customHeight="1">
      <c r="A20" s="14">
        <v>45748</v>
      </c>
      <c r="B20" s="15">
        <v>20</v>
      </c>
      <c r="C20" t="s" s="16">
        <v>55</v>
      </c>
      <c r="D20" s="17"/>
      <c r="E20" s="17"/>
      <c r="F20" t="str" s="18" cm="1">
        <f t="array" ref="F20">_xlfn.TEXTJOIN(" ",1,C20,D20,E20)</f>
        <v>ABHIJIT SOOR</v>
      </c>
      <c r="G20" t="s" s="19">
        <v>9</v>
      </c>
      <c r="H20" s="20">
        <v>1500</v>
      </c>
      <c r="I20" s="20">
        <v>4.5</v>
      </c>
      <c r="J20" s="20">
        <v>1500</v>
      </c>
      <c r="K20" t="s" s="19">
        <v>57</v>
      </c>
      <c r="L20" t="s" s="19">
        <v>30</v>
      </c>
      <c r="M20" t="str" s="18" cm="1">
        <f t="array" ref="M20">IF(F20="CASH SALE",K20,F20)</f>
        <v>ABHIJIT SOOR</v>
      </c>
    </row>
    <row r="21" ht="22.8" customHeight="1">
      <c r="A21" s="14">
        <v>45748</v>
      </c>
      <c r="B21" s="15">
        <v>21</v>
      </c>
      <c r="C21" t="s" s="16">
        <v>55</v>
      </c>
      <c r="D21" s="17"/>
      <c r="E21" s="17"/>
      <c r="F21" t="str" s="18" cm="1">
        <f t="array" ref="F21">_xlfn.TEXTJOIN(" ",1,C21,D21,E21)</f>
        <v>ABHIJIT SOOR</v>
      </c>
      <c r="G21" t="s" s="19">
        <v>9</v>
      </c>
      <c r="H21" s="20">
        <v>1500</v>
      </c>
      <c r="I21" s="20">
        <v>4.5</v>
      </c>
      <c r="J21" s="20">
        <v>1500</v>
      </c>
      <c r="K21" t="s" s="19">
        <v>57</v>
      </c>
      <c r="L21" t="s" s="19">
        <v>42</v>
      </c>
      <c r="M21" t="str" s="18" cm="1">
        <f t="array" ref="M21">IF(F21="CASH SALE",K21,F21)</f>
        <v>ABHIJIT SOOR</v>
      </c>
    </row>
    <row r="22" ht="22.8" customHeight="1">
      <c r="A22" s="14">
        <v>45748</v>
      </c>
      <c r="B22" s="15">
        <v>22</v>
      </c>
      <c r="C22" t="s" s="16">
        <v>46</v>
      </c>
      <c r="D22" s="17"/>
      <c r="E22" s="17"/>
      <c r="F22" t="str" s="18" cm="1">
        <f t="array" ref="F22">_xlfn.TEXTJOIN(" ",1,C22,D22,E22)</f>
        <v>ARYAN BUILDERS</v>
      </c>
      <c r="G22" t="s" s="19">
        <v>9</v>
      </c>
      <c r="H22" s="20">
        <v>1500</v>
      </c>
      <c r="I22" s="20">
        <v>4.5</v>
      </c>
      <c r="J22" s="20">
        <v>1500</v>
      </c>
      <c r="K22" t="s" s="19">
        <v>48</v>
      </c>
      <c r="L22" t="s" s="19">
        <v>35</v>
      </c>
      <c r="M22" t="str" s="18" cm="1">
        <f t="array" ref="M22">IF(F22="CASH SALE",K22,F22)</f>
        <v>ARYAN BUILDERS</v>
      </c>
    </row>
    <row r="23" ht="22.8" customHeight="1">
      <c r="A23" s="14">
        <v>45748</v>
      </c>
      <c r="B23" s="15">
        <v>19</v>
      </c>
      <c r="C23" t="s" s="16">
        <v>58</v>
      </c>
      <c r="D23" s="17"/>
      <c r="E23" s="17"/>
      <c r="F23" t="str" s="18" cm="1">
        <f t="array" ref="F23">_xlfn.TEXTJOIN(" ",1,C23,D23,E23)</f>
        <v>MAHESH MALIK</v>
      </c>
      <c r="G23" t="s" s="19">
        <v>9</v>
      </c>
      <c r="H23" s="20">
        <v>1500</v>
      </c>
      <c r="I23" s="20">
        <v>4.6</v>
      </c>
      <c r="J23" s="20">
        <v>1500</v>
      </c>
      <c r="K23" t="s" s="19">
        <v>60</v>
      </c>
      <c r="L23" t="s" s="19">
        <v>35</v>
      </c>
      <c r="M23" t="str" s="18" cm="1">
        <f t="array" ref="M23">IF(F23="CASH SALE",K23,F23)</f>
        <v>MAHESH MALIK</v>
      </c>
    </row>
    <row r="24" ht="22.8" customHeight="1">
      <c r="A24" s="14">
        <v>45749</v>
      </c>
      <c r="B24" s="15">
        <v>23</v>
      </c>
      <c r="C24" t="s" s="16">
        <v>7</v>
      </c>
      <c r="D24" s="17"/>
      <c r="E24" s="17"/>
      <c r="F24" t="str" s="18" cm="1">
        <f t="array" ref="F24">_xlfn.TEXTJOIN(" ",1,C24,D24,E24)</f>
        <v>CASH SALE</v>
      </c>
      <c r="G24" t="s" s="19">
        <v>9</v>
      </c>
      <c r="H24" s="20">
        <v>2500</v>
      </c>
      <c r="I24" s="20">
        <v>6.25</v>
      </c>
      <c r="J24" s="20">
        <v>2500</v>
      </c>
      <c r="K24" t="s" s="19">
        <v>61</v>
      </c>
      <c r="L24" t="s" s="19">
        <v>11</v>
      </c>
      <c r="M24" t="str" s="18" cm="1">
        <f t="array" ref="M24">IF(F24="CASH SALE",K24,F24)</f>
        <v>RAJU SALAN</v>
      </c>
    </row>
    <row r="25" ht="22.8" customHeight="1">
      <c r="A25" s="14">
        <v>45749</v>
      </c>
      <c r="B25" s="15">
        <v>24</v>
      </c>
      <c r="C25" t="s" s="16">
        <v>7</v>
      </c>
      <c r="D25" s="17"/>
      <c r="E25" s="17"/>
      <c r="F25" t="str" s="18" cm="1">
        <f t="array" ref="F25">_xlfn.TEXTJOIN(" ",1,C25,D25,E25)</f>
        <v>CASH SALE</v>
      </c>
      <c r="G25" t="s" s="19">
        <v>9</v>
      </c>
      <c r="H25" s="20">
        <v>4000</v>
      </c>
      <c r="I25" s="20">
        <v>6</v>
      </c>
      <c r="J25" s="20">
        <v>4000</v>
      </c>
      <c r="K25" t="s" s="19">
        <v>63</v>
      </c>
      <c r="L25" t="s" s="19">
        <v>21</v>
      </c>
      <c r="M25" t="str" s="18" cm="1">
        <f t="array" ref="M25">IF(F25="CASH SALE",K25,F25)</f>
        <v>VITTHAL RA</v>
      </c>
    </row>
    <row r="26" ht="22.8" customHeight="1">
      <c r="A26" s="14">
        <v>45749</v>
      </c>
      <c r="B26" s="15">
        <v>25</v>
      </c>
      <c r="C26" t="s" s="16">
        <v>7</v>
      </c>
      <c r="D26" s="17"/>
      <c r="E26" s="17"/>
      <c r="F26" t="str" s="18" cm="1">
        <f t="array" ref="F26">_xlfn.TEXTJOIN(" ",1,C26,D26,E26)</f>
        <v>CASH SALE</v>
      </c>
      <c r="G26" t="s" s="19">
        <v>9</v>
      </c>
      <c r="H26" s="20">
        <v>4000</v>
      </c>
      <c r="I26" s="20">
        <v>6</v>
      </c>
      <c r="J26" s="20">
        <v>4000</v>
      </c>
      <c r="K26" t="s" s="19">
        <v>65</v>
      </c>
      <c r="L26" t="s" s="19">
        <v>16</v>
      </c>
      <c r="M26" t="str" s="18" cm="1">
        <f t="array" ref="M26">IF(F26="CASH SALE",K26,F26)</f>
        <v>WASUDEO GO</v>
      </c>
    </row>
    <row r="27" ht="22.8" customHeight="1">
      <c r="A27" s="14">
        <v>45749</v>
      </c>
      <c r="B27" s="15">
        <v>26</v>
      </c>
      <c r="C27" t="s" s="16">
        <v>7</v>
      </c>
      <c r="D27" s="17"/>
      <c r="E27" s="17"/>
      <c r="F27" t="str" s="18" cm="1">
        <f t="array" ref="F27">_xlfn.TEXTJOIN(" ",1,C27,D27,E27)</f>
        <v>CASH SALE</v>
      </c>
      <c r="G27" t="s" s="19">
        <v>9</v>
      </c>
      <c r="H27" s="20">
        <v>3000</v>
      </c>
      <c r="I27" s="20">
        <v>6</v>
      </c>
      <c r="J27" s="20">
        <v>3000</v>
      </c>
      <c r="K27" t="s" s="19">
        <v>67</v>
      </c>
      <c r="L27" t="s" s="19">
        <v>27</v>
      </c>
      <c r="M27" t="str" s="18" cm="1">
        <f t="array" ref="M27">IF(F27="CASH SALE",K27,F27)</f>
        <v>DR NIKHADE</v>
      </c>
    </row>
    <row r="28" ht="22.8" customHeight="1">
      <c r="A28" s="14">
        <v>45749</v>
      </c>
      <c r="B28" s="15">
        <v>27</v>
      </c>
      <c r="C28" t="s" s="16">
        <v>23</v>
      </c>
      <c r="D28" s="17"/>
      <c r="E28" s="17"/>
      <c r="F28" t="str" s="18" cm="1">
        <f t="array" ref="F28">_xlfn.TEXTJOIN(" ",1,C28,D28,E28)</f>
        <v>CANCAL D M</v>
      </c>
      <c r="G28" t="s" s="19">
        <v>25</v>
      </c>
      <c r="H28" s="20">
        <v>1</v>
      </c>
      <c r="I28" s="20">
        <v>1</v>
      </c>
      <c r="J28" s="20">
        <v>1</v>
      </c>
      <c r="K28" s="18"/>
      <c r="L28" s="18"/>
      <c r="M28" t="str" s="18" cm="1">
        <f t="array" ref="M28">IF(F28="CASH SALE",K28,F28)</f>
        <v>CANCAL D M</v>
      </c>
    </row>
    <row r="29" ht="22.8" customHeight="1">
      <c r="A29" s="14">
        <v>45749</v>
      </c>
      <c r="B29" s="15">
        <v>28</v>
      </c>
      <c r="C29" t="s" s="16">
        <v>39</v>
      </c>
      <c r="D29" s="17"/>
      <c r="E29" s="17"/>
      <c r="F29" t="str" s="18" cm="1">
        <f t="array" ref="F29">_xlfn.TEXTJOIN(" ",1,C29,D29,E29)</f>
        <v>MANISH TAPASE</v>
      </c>
      <c r="G29" t="s" s="19">
        <v>9</v>
      </c>
      <c r="H29" s="20">
        <v>1500</v>
      </c>
      <c r="I29" s="20">
        <v>4.27</v>
      </c>
      <c r="J29" s="20">
        <v>1500</v>
      </c>
      <c r="K29" t="s" s="19">
        <v>69</v>
      </c>
      <c r="L29" t="s" s="19">
        <v>42</v>
      </c>
      <c r="M29" t="str" s="18" cm="1">
        <f t="array" ref="M29">IF(F29="CASH SALE",K29,F29)</f>
        <v>MANISH TAPASE</v>
      </c>
    </row>
    <row r="30" ht="22.8" customHeight="1">
      <c r="A30" s="14">
        <v>45749</v>
      </c>
      <c r="B30" s="15">
        <v>29</v>
      </c>
      <c r="C30" t="s" s="16">
        <v>7</v>
      </c>
      <c r="D30" s="17"/>
      <c r="E30" s="17"/>
      <c r="F30" t="str" s="18" cm="1">
        <f t="array" ref="F30">_xlfn.TEXTJOIN(" ",1,C30,D30,E30)</f>
        <v>CASH SALE</v>
      </c>
      <c r="G30" t="s" s="19">
        <v>9</v>
      </c>
      <c r="H30" s="20">
        <v>1500</v>
      </c>
      <c r="I30" s="20">
        <v>4.6</v>
      </c>
      <c r="J30" s="20">
        <v>1500</v>
      </c>
      <c r="K30" t="s" s="19">
        <v>70</v>
      </c>
      <c r="L30" t="s" s="19">
        <v>30</v>
      </c>
      <c r="M30" t="str" s="18" cm="1">
        <f t="array" ref="M30">IF(F30="CASH SALE",K30,F30)</f>
        <v>VAIBHAV FA</v>
      </c>
    </row>
    <row r="31" ht="22.8" customHeight="1">
      <c r="A31" s="14">
        <v>45749</v>
      </c>
      <c r="B31" s="15">
        <v>30</v>
      </c>
      <c r="C31" t="s" s="16">
        <v>72</v>
      </c>
      <c r="D31" s="17"/>
      <c r="E31" s="17"/>
      <c r="F31" t="str" s="18" cm="1">
        <f t="array" ref="F31">_xlfn.TEXTJOIN(" ",1,C31,D31,E31)</f>
        <v>SANTOSH PUNYAPAWAR</v>
      </c>
      <c r="G31" t="s" s="19">
        <v>9</v>
      </c>
      <c r="H31" s="20">
        <v>1500</v>
      </c>
      <c r="I31" s="20">
        <v>4.4</v>
      </c>
      <c r="J31" s="20">
        <v>1500</v>
      </c>
      <c r="K31" s="18"/>
      <c r="L31" t="s" s="19">
        <v>30</v>
      </c>
      <c r="M31" t="str" s="18" cm="1">
        <f t="array" ref="M31">IF(F31="CASH SALE",K31,F31)</f>
        <v>SANTOSH PUNYAPAWAR</v>
      </c>
    </row>
    <row r="32" ht="22.8" customHeight="1">
      <c r="A32" s="14">
        <v>45749</v>
      </c>
      <c r="B32" s="15">
        <v>31</v>
      </c>
      <c r="C32" t="s" s="21">
        <v>74</v>
      </c>
      <c r="D32" t="s" s="16">
        <v>75</v>
      </c>
      <c r="E32" s="17"/>
      <c r="F32" t="str" s="18" cm="1">
        <f t="array" ref="F32">_xlfn.TEXTJOIN(" ",1,C32,D32,E32)</f>
        <v>CASH SALE</v>
      </c>
      <c r="G32" t="s" s="19">
        <v>9</v>
      </c>
      <c r="H32" s="20">
        <v>1500</v>
      </c>
      <c r="I32" s="20">
        <v>4.6</v>
      </c>
      <c r="J32" s="20">
        <v>1500</v>
      </c>
      <c r="K32" t="s" s="19">
        <v>76</v>
      </c>
      <c r="L32" t="s" s="19">
        <v>35</v>
      </c>
      <c r="M32" t="str" s="18" cm="1">
        <f t="array" ref="M32">IF(F32="CASH SALE",K32,F32)</f>
        <v>PRAJAT BUR</v>
      </c>
    </row>
    <row r="33" ht="22.8" customHeight="1">
      <c r="A33" s="14">
        <v>45749</v>
      </c>
      <c r="B33" s="15">
        <v>32</v>
      </c>
      <c r="C33" t="s" s="21">
        <v>74</v>
      </c>
      <c r="D33" t="s" s="16">
        <v>75</v>
      </c>
      <c r="E33" s="17"/>
      <c r="F33" t="str" s="18" cm="1">
        <f t="array" ref="F33">_xlfn.TEXTJOIN(" ",1,C33,D33,E33)</f>
        <v>CASH SALE</v>
      </c>
      <c r="G33" t="s" s="19">
        <v>9</v>
      </c>
      <c r="H33" s="20">
        <v>1500</v>
      </c>
      <c r="I33" s="20">
        <v>4.5</v>
      </c>
      <c r="J33" s="20">
        <v>1500</v>
      </c>
      <c r="K33" t="s" s="19">
        <v>78</v>
      </c>
      <c r="L33" t="s" s="19">
        <v>35</v>
      </c>
      <c r="M33" t="str" s="18" cm="1">
        <f t="array" ref="M33">IF(F33="CASH SALE",K33,F33)</f>
        <v>YASHVANT T</v>
      </c>
    </row>
    <row r="34" ht="22.8" customHeight="1">
      <c r="A34" s="14">
        <v>45750</v>
      </c>
      <c r="B34" s="15">
        <v>33</v>
      </c>
      <c r="C34" t="s" s="21">
        <v>74</v>
      </c>
      <c r="D34" t="s" s="16">
        <v>75</v>
      </c>
      <c r="E34" s="17"/>
      <c r="F34" t="str" s="18" cm="1">
        <f t="array" ref="F34">_xlfn.TEXTJOIN(" ",1,C34,D34,E34)</f>
        <v>CASH SALE</v>
      </c>
      <c r="G34" t="s" s="19">
        <v>9</v>
      </c>
      <c r="H34" s="20">
        <v>2500</v>
      </c>
      <c r="I34" s="20">
        <v>5.5</v>
      </c>
      <c r="J34" s="20">
        <v>2500</v>
      </c>
      <c r="K34" t="s" s="19">
        <v>80</v>
      </c>
      <c r="L34" t="s" s="19">
        <v>11</v>
      </c>
      <c r="M34" t="str" s="18" cm="1">
        <f t="array" ref="M34">IF(F34="CASH SALE",K34,F34)</f>
        <v>SUNIL ROHA</v>
      </c>
    </row>
    <row r="35" ht="22.8" customHeight="1">
      <c r="A35" s="14">
        <v>45750</v>
      </c>
      <c r="B35" s="15">
        <v>34</v>
      </c>
      <c r="C35" t="s" s="21">
        <v>74</v>
      </c>
      <c r="D35" t="s" s="16">
        <v>75</v>
      </c>
      <c r="E35" s="17"/>
      <c r="F35" t="str" s="18" cm="1">
        <f t="array" ref="F35">_xlfn.TEXTJOIN(" ",1,C35,D35,E35)</f>
        <v>CASH SALE</v>
      </c>
      <c r="G35" t="s" s="19">
        <v>9</v>
      </c>
      <c r="H35" s="20">
        <v>2500</v>
      </c>
      <c r="I35" s="20">
        <v>5</v>
      </c>
      <c r="J35" s="20">
        <v>2500</v>
      </c>
      <c r="K35" t="s" s="19">
        <v>82</v>
      </c>
      <c r="L35" t="s" s="19">
        <v>11</v>
      </c>
      <c r="M35" t="str" s="18" cm="1">
        <f t="array" ref="M35">IF(F35="CASH SALE",K35,F35)</f>
        <v>ANIL NIPUN</v>
      </c>
    </row>
    <row r="36" ht="22.8" customHeight="1">
      <c r="A36" s="14">
        <v>45750</v>
      </c>
      <c r="B36" s="15">
        <v>35</v>
      </c>
      <c r="C36" t="s" s="21">
        <v>74</v>
      </c>
      <c r="D36" t="s" s="16">
        <v>75</v>
      </c>
      <c r="E36" s="17"/>
      <c r="F36" t="str" s="18" cm="1">
        <f t="array" ref="F36">_xlfn.TEXTJOIN(" ",1,C36,D36,E36)</f>
        <v>CASH SALE</v>
      </c>
      <c r="G36" t="s" s="19">
        <v>9</v>
      </c>
      <c r="H36" s="20">
        <v>3000</v>
      </c>
      <c r="I36" s="20">
        <v>5.75</v>
      </c>
      <c r="J36" s="20">
        <v>3000</v>
      </c>
      <c r="K36" t="s" s="19">
        <v>84</v>
      </c>
      <c r="L36" t="s" s="19">
        <v>27</v>
      </c>
      <c r="M36" t="str" s="18" cm="1">
        <f t="array" ref="M36">IF(F36="CASH SALE",K36,F36)</f>
        <v>MAROTI PAR</v>
      </c>
    </row>
    <row r="37" ht="22.8" customHeight="1">
      <c r="A37" s="14">
        <v>45750</v>
      </c>
      <c r="B37" s="15">
        <v>36</v>
      </c>
      <c r="C37" t="s" s="21">
        <v>74</v>
      </c>
      <c r="D37" t="s" s="16">
        <v>75</v>
      </c>
      <c r="E37" s="17"/>
      <c r="F37" t="str" s="18" cm="1">
        <f t="array" ref="F37">_xlfn.TEXTJOIN(" ",1,C37,D37,E37)</f>
        <v>CASH SALE</v>
      </c>
      <c r="G37" t="s" s="19">
        <v>9</v>
      </c>
      <c r="H37" s="20">
        <v>3000</v>
      </c>
      <c r="I37" s="20">
        <v>5.25</v>
      </c>
      <c r="J37" s="20">
        <v>3000</v>
      </c>
      <c r="K37" t="s" s="19">
        <v>86</v>
      </c>
      <c r="L37" t="s" s="19">
        <v>27</v>
      </c>
      <c r="M37" t="str" s="18" cm="1">
        <f t="array" ref="M37">IF(F37="CASH SALE",K37,F37)</f>
        <v>JOYA TAILE</v>
      </c>
    </row>
    <row r="38" ht="22.8" customHeight="1">
      <c r="A38" s="14">
        <v>45750</v>
      </c>
      <c r="B38" s="15">
        <v>37</v>
      </c>
      <c r="C38" t="s" s="21">
        <v>74</v>
      </c>
      <c r="D38" t="s" s="16">
        <v>75</v>
      </c>
      <c r="E38" s="17"/>
      <c r="F38" t="str" s="18" cm="1">
        <f t="array" ref="F38">_xlfn.TEXTJOIN(" ",1,C38,D38,E38)</f>
        <v>CASH SALE</v>
      </c>
      <c r="G38" t="s" s="19">
        <v>9</v>
      </c>
      <c r="H38" s="20">
        <v>4000</v>
      </c>
      <c r="I38" s="20">
        <v>6</v>
      </c>
      <c r="J38" s="20">
        <v>4000</v>
      </c>
      <c r="K38" t="s" s="19">
        <v>88</v>
      </c>
      <c r="L38" t="s" s="19">
        <v>16</v>
      </c>
      <c r="M38" t="str" s="18" cm="1">
        <f t="array" ref="M38">IF(F38="CASH SALE",K38,F38)</f>
        <v>DILIP MYAK</v>
      </c>
    </row>
    <row r="39" ht="22.8" customHeight="1">
      <c r="A39" s="14">
        <v>45750</v>
      </c>
      <c r="B39" s="15">
        <v>38</v>
      </c>
      <c r="C39" t="s" s="21">
        <v>74</v>
      </c>
      <c r="D39" t="s" s="16">
        <v>75</v>
      </c>
      <c r="E39" s="17"/>
      <c r="F39" t="str" s="18" cm="1">
        <f t="array" ref="F39">_xlfn.TEXTJOIN(" ",1,C39,D39,E39)</f>
        <v>CASH SALE</v>
      </c>
      <c r="G39" t="s" s="19">
        <v>9</v>
      </c>
      <c r="H39" s="20">
        <v>4000</v>
      </c>
      <c r="I39" s="20">
        <v>5.5</v>
      </c>
      <c r="J39" s="20">
        <v>4000</v>
      </c>
      <c r="K39" t="s" s="19">
        <v>90</v>
      </c>
      <c r="L39" t="s" s="19">
        <v>16</v>
      </c>
      <c r="M39" t="str" s="18" cm="1">
        <f t="array" ref="M39">IF(F39="CASH SALE",K39,F39)</f>
        <v>SAIKRISHNA</v>
      </c>
    </row>
    <row r="40" ht="22.8" customHeight="1">
      <c r="A40" s="14">
        <v>45750</v>
      </c>
      <c r="B40" s="15">
        <v>39</v>
      </c>
      <c r="C40" t="s" s="21">
        <v>74</v>
      </c>
      <c r="D40" t="s" s="16">
        <v>75</v>
      </c>
      <c r="E40" s="17"/>
      <c r="F40" t="str" s="18" cm="1">
        <f t="array" ref="F40">_xlfn.TEXTJOIN(" ",1,C40,D40,E40)</f>
        <v>CASH SALE</v>
      </c>
      <c r="G40" t="s" s="19">
        <v>9</v>
      </c>
      <c r="H40" s="20">
        <v>4000</v>
      </c>
      <c r="I40" s="20">
        <v>5.75</v>
      </c>
      <c r="J40" s="20">
        <v>4000</v>
      </c>
      <c r="K40" t="s" s="19">
        <v>92</v>
      </c>
      <c r="L40" t="s" s="19">
        <v>21</v>
      </c>
      <c r="M40" t="str" s="18" cm="1">
        <f t="array" ref="M40">IF(F40="CASH SALE",K40,F40)</f>
        <v>ROHIT BURR</v>
      </c>
    </row>
    <row r="41" ht="22.8" customHeight="1">
      <c r="A41" s="14">
        <v>45750</v>
      </c>
      <c r="B41" s="15">
        <v>40</v>
      </c>
      <c r="C41" t="s" s="21">
        <v>74</v>
      </c>
      <c r="D41" t="s" s="16">
        <v>75</v>
      </c>
      <c r="E41" s="17"/>
      <c r="F41" t="str" s="18" cm="1">
        <f t="array" ref="F41">_xlfn.TEXTJOIN(" ",1,C41,D41,E41)</f>
        <v>CASH SALE</v>
      </c>
      <c r="G41" t="s" s="19">
        <v>9</v>
      </c>
      <c r="H41" s="20">
        <v>4000</v>
      </c>
      <c r="I41" s="20">
        <v>5.75</v>
      </c>
      <c r="J41" s="20">
        <v>4000</v>
      </c>
      <c r="K41" t="s" s="19">
        <v>94</v>
      </c>
      <c r="L41" t="s" s="19">
        <v>21</v>
      </c>
      <c r="M41" t="str" s="18" cm="1">
        <f t="array" ref="M41">IF(F41="CASH SALE",K41,F41)</f>
        <v>GANESH KUS</v>
      </c>
    </row>
    <row r="42" ht="22.8" customHeight="1">
      <c r="A42" s="14">
        <v>45750</v>
      </c>
      <c r="B42" s="15">
        <v>41</v>
      </c>
      <c r="C42" t="s" s="16">
        <v>96</v>
      </c>
      <c r="D42" s="17"/>
      <c r="E42" s="17"/>
      <c r="F42" t="str" s="18" cm="1">
        <f t="array" ref="F42">_xlfn.TEXTJOIN(" ",1,C42,D42,E42)</f>
        <v>MOHAN NAMANWAR</v>
      </c>
      <c r="G42" t="s" s="19">
        <v>9</v>
      </c>
      <c r="H42" s="20">
        <v>1500</v>
      </c>
      <c r="I42" s="20">
        <v>5</v>
      </c>
      <c r="J42" s="20">
        <v>1500</v>
      </c>
      <c r="K42" t="s" s="19">
        <v>98</v>
      </c>
      <c r="L42" t="s" s="19">
        <v>30</v>
      </c>
      <c r="M42" t="str" s="18" cm="1">
        <f t="array" ref="M42">IF(F42="CASH SALE",K42,F42)</f>
        <v>MOHAN NAMANWAR</v>
      </c>
    </row>
    <row r="43" ht="22.8" customHeight="1">
      <c r="A43" s="14">
        <v>45750</v>
      </c>
      <c r="B43" s="15">
        <v>42</v>
      </c>
      <c r="C43" t="s" s="16">
        <v>99</v>
      </c>
      <c r="D43" s="17"/>
      <c r="E43" s="17"/>
      <c r="F43" t="str" s="18" cm="1">
        <f t="array" ref="F43">_xlfn.TEXTJOIN(" ",1,C43,D43,E43)</f>
        <v>GAURAO NANDURKAR</v>
      </c>
      <c r="G43" t="s" s="19">
        <v>9</v>
      </c>
      <c r="H43" s="20">
        <v>1500</v>
      </c>
      <c r="I43" s="20">
        <v>4.5</v>
      </c>
      <c r="J43" s="20">
        <v>1500</v>
      </c>
      <c r="K43" t="s" s="19">
        <v>101</v>
      </c>
      <c r="L43" t="s" s="19">
        <v>30</v>
      </c>
      <c r="M43" t="str" s="18" cm="1">
        <f t="array" ref="M43">IF(F43="CASH SALE",K43,F43)</f>
        <v>GAURAO NANDURKAR</v>
      </c>
    </row>
    <row r="44" ht="22.8" customHeight="1">
      <c r="A44" s="14">
        <v>45750</v>
      </c>
      <c r="B44" s="15">
        <v>43</v>
      </c>
      <c r="C44" t="s" s="16">
        <v>39</v>
      </c>
      <c r="D44" s="17"/>
      <c r="E44" s="17"/>
      <c r="F44" t="str" s="18" cm="1">
        <f t="array" ref="F44">_xlfn.TEXTJOIN(" ",1,C44,D44,E44)</f>
        <v>MANISH TAPASE</v>
      </c>
      <c r="G44" t="s" s="19">
        <v>9</v>
      </c>
      <c r="H44" s="20">
        <v>1500</v>
      </c>
      <c r="I44" s="20">
        <v>4.27</v>
      </c>
      <c r="J44" s="20">
        <v>1500</v>
      </c>
      <c r="K44" t="s" s="19">
        <v>38</v>
      </c>
      <c r="L44" t="s" s="19">
        <v>42</v>
      </c>
      <c r="M44" t="str" s="18" cm="1">
        <f t="array" ref="M44">IF(F44="CASH SALE",K44,F44)</f>
        <v>MANISH TAPASE</v>
      </c>
    </row>
    <row r="45" ht="22.8" customHeight="1">
      <c r="A45" s="14">
        <v>45750</v>
      </c>
      <c r="B45" s="15">
        <v>44</v>
      </c>
      <c r="C45" t="s" s="16">
        <v>102</v>
      </c>
      <c r="D45" s="17"/>
      <c r="E45" s="17"/>
      <c r="F45" t="str" s="18" cm="1">
        <f t="array" ref="F45">_xlfn.TEXTJOIN(" ",1,C45,D45,E45)</f>
        <v>SUJAL CHANDANKHEDE</v>
      </c>
      <c r="G45" t="s" s="19">
        <v>9</v>
      </c>
      <c r="H45" s="20">
        <v>1500</v>
      </c>
      <c r="I45" s="20">
        <v>4.5</v>
      </c>
      <c r="J45" s="20">
        <v>1500</v>
      </c>
      <c r="K45" t="s" s="19">
        <v>104</v>
      </c>
      <c r="L45" t="s" s="19">
        <v>42</v>
      </c>
      <c r="M45" t="str" s="18" cm="1">
        <f t="array" ref="M45">IF(F45="CASH SALE",K45,F45)</f>
        <v>SUJAL CHANDANKHEDE</v>
      </c>
    </row>
    <row r="46" ht="22.8" customHeight="1">
      <c r="A46" s="14">
        <v>45750</v>
      </c>
      <c r="B46" s="15">
        <v>45</v>
      </c>
      <c r="C46" t="s" s="16">
        <v>105</v>
      </c>
      <c r="D46" s="17"/>
      <c r="E46" s="17"/>
      <c r="F46" t="str" s="18" cm="1">
        <f t="array" ref="F46">_xlfn.TEXTJOIN(" ",1,C46,D46,E46)</f>
        <v>THAKARE THEKEDAR</v>
      </c>
      <c r="G46" t="s" s="19">
        <v>9</v>
      </c>
      <c r="H46" s="20">
        <v>1500</v>
      </c>
      <c r="I46" s="20">
        <v>4.5</v>
      </c>
      <c r="J46" s="20">
        <v>1500</v>
      </c>
      <c r="K46" t="s" s="19">
        <v>107</v>
      </c>
      <c r="L46" t="s" s="19">
        <v>35</v>
      </c>
      <c r="M46" t="str" s="18" cm="1">
        <f t="array" ref="M46">IF(F46="CASH SALE",K46,F46)</f>
        <v>THAKARE THEKEDAR</v>
      </c>
    </row>
    <row r="47" ht="22.8" customHeight="1">
      <c r="A47" s="14">
        <v>45750</v>
      </c>
      <c r="B47" s="15">
        <v>46</v>
      </c>
      <c r="C47" t="s" s="16">
        <v>36</v>
      </c>
      <c r="D47" s="17"/>
      <c r="E47" s="17"/>
      <c r="F47" t="str" s="18" cm="1">
        <f t="array" ref="F47">_xlfn.TEXTJOIN(" ",1,C47,D47,E47)</f>
        <v>ABHAS SINGH</v>
      </c>
      <c r="G47" t="s" s="19">
        <v>9</v>
      </c>
      <c r="H47" s="20">
        <v>1500</v>
      </c>
      <c r="I47" s="20">
        <v>4.5</v>
      </c>
      <c r="J47" s="20">
        <v>1500</v>
      </c>
      <c r="K47" t="s" s="19">
        <v>38</v>
      </c>
      <c r="L47" t="s" s="19">
        <v>35</v>
      </c>
      <c r="M47" t="str" s="18" cm="1">
        <f t="array" ref="M47">IF(F47="CASH SALE",K47,F47)</f>
        <v>ABHAS SINGH</v>
      </c>
    </row>
    <row r="48" ht="22.8" customHeight="1">
      <c r="A48" s="14">
        <v>45750</v>
      </c>
      <c r="B48" s="15">
        <v>47</v>
      </c>
      <c r="C48" t="s" s="16">
        <v>23</v>
      </c>
      <c r="D48" s="17"/>
      <c r="E48" s="17"/>
      <c r="F48" t="str" s="18" cm="1">
        <f t="array" ref="F48">_xlfn.TEXTJOIN(" ",1,C48,D48,E48)</f>
        <v>CANCAL D M</v>
      </c>
      <c r="G48" t="s" s="19">
        <v>25</v>
      </c>
      <c r="H48" s="20">
        <v>1</v>
      </c>
      <c r="I48" s="20">
        <v>1</v>
      </c>
      <c r="J48" s="20">
        <v>1</v>
      </c>
      <c r="K48" s="18"/>
      <c r="L48" s="18"/>
      <c r="M48" t="str" s="18" cm="1">
        <f t="array" ref="M48">IF(F48="CASH SALE",K48,F48)</f>
        <v>CANCAL D M</v>
      </c>
    </row>
    <row r="49" ht="22.8" customHeight="1">
      <c r="A49" s="14">
        <v>45750</v>
      </c>
      <c r="B49" s="15">
        <v>48</v>
      </c>
      <c r="C49" t="s" s="16">
        <v>7</v>
      </c>
      <c r="D49" s="17"/>
      <c r="E49" s="17"/>
      <c r="F49" t="str" s="18" cm="1">
        <f t="array" ref="F49">_xlfn.TEXTJOIN(" ",1,C49,D49,E49)</f>
        <v>CASH SALE</v>
      </c>
      <c r="G49" t="s" s="19">
        <v>9</v>
      </c>
      <c r="H49" s="20">
        <v>1500</v>
      </c>
      <c r="I49" s="20">
        <v>4.8</v>
      </c>
      <c r="J49" s="20">
        <v>1500</v>
      </c>
      <c r="K49" t="s" s="19">
        <v>108</v>
      </c>
      <c r="L49" t="s" s="19">
        <v>30</v>
      </c>
      <c r="M49" t="str" s="18" cm="1">
        <f t="array" ref="M49">IF(F49="CASH SALE",K49,F49)</f>
        <v>ACHAL GEDA</v>
      </c>
    </row>
    <row r="50" ht="22.8" customHeight="1">
      <c r="A50" s="14">
        <v>45750</v>
      </c>
      <c r="B50" s="15">
        <v>49</v>
      </c>
      <c r="C50" t="s" s="16">
        <v>110</v>
      </c>
      <c r="D50" s="17"/>
      <c r="E50" s="17"/>
      <c r="F50" t="str" s="18" cm="1">
        <f t="array" ref="F50">_xlfn.TEXTJOIN(" ",1,C50,D50,E50)</f>
        <v>ABHILASH MALEKAR</v>
      </c>
      <c r="G50" t="s" s="19">
        <v>9</v>
      </c>
      <c r="H50" s="20">
        <v>1500</v>
      </c>
      <c r="I50" s="20">
        <v>4.5</v>
      </c>
      <c r="J50" s="20">
        <v>1500</v>
      </c>
      <c r="K50" t="s" s="19">
        <v>112</v>
      </c>
      <c r="L50" t="s" s="19">
        <v>42</v>
      </c>
      <c r="M50" t="str" s="18" cm="1">
        <f t="array" ref="M50">IF(F50="CASH SALE",K50,F50)</f>
        <v>ABHILASH MALEKAR</v>
      </c>
    </row>
    <row r="51" ht="22.8" customHeight="1">
      <c r="A51" s="14">
        <v>45750</v>
      </c>
      <c r="B51" s="15">
        <v>50</v>
      </c>
      <c r="C51" t="s" s="16">
        <v>113</v>
      </c>
      <c r="D51" s="17"/>
      <c r="E51" s="17"/>
      <c r="F51" t="str" s="18" cm="1">
        <f t="array" ref="F51">_xlfn.TEXTJOIN(" ",1,C51,D51,E51)</f>
        <v>BHUPESH REGUNDWAR</v>
      </c>
      <c r="G51" t="s" s="19">
        <v>9</v>
      </c>
      <c r="H51" s="20">
        <v>1500</v>
      </c>
      <c r="I51" s="20">
        <v>4.67</v>
      </c>
      <c r="J51" s="20">
        <v>1500</v>
      </c>
      <c r="K51" t="s" s="19">
        <v>115</v>
      </c>
      <c r="L51" t="s" s="19">
        <v>35</v>
      </c>
      <c r="M51" t="str" s="18" cm="1">
        <f t="array" ref="M51">IF(F51="CASH SALE",K51,F51)</f>
        <v>BHUPESH REGUNDWAR</v>
      </c>
    </row>
    <row r="52" ht="22.8" customHeight="1">
      <c r="A52" s="14">
        <v>45750</v>
      </c>
      <c r="B52" s="15">
        <v>51</v>
      </c>
      <c r="C52" t="s" s="16">
        <v>58</v>
      </c>
      <c r="D52" s="17"/>
      <c r="E52" s="17"/>
      <c r="F52" t="str" s="18" cm="1">
        <f t="array" ref="F52">_xlfn.TEXTJOIN(" ",1,C52,D52,E52)</f>
        <v>MAHESH MALIK</v>
      </c>
      <c r="G52" t="s" s="19">
        <v>9</v>
      </c>
      <c r="H52" s="20">
        <v>1500</v>
      </c>
      <c r="I52" s="20">
        <v>4.6</v>
      </c>
      <c r="J52" s="20">
        <v>1500</v>
      </c>
      <c r="K52" t="s" s="19">
        <v>116</v>
      </c>
      <c r="L52" t="s" s="19">
        <v>30</v>
      </c>
      <c r="M52" t="str" s="18" cm="1">
        <f t="array" ref="M52">IF(F52="CASH SALE",K52,F52)</f>
        <v>MAHESH MALIK</v>
      </c>
    </row>
    <row r="53" ht="22.8" customHeight="1">
      <c r="A53" s="14">
        <v>45750</v>
      </c>
      <c r="B53" s="15">
        <v>52</v>
      </c>
      <c r="C53" t="s" s="16">
        <v>7</v>
      </c>
      <c r="D53" s="17"/>
      <c r="E53" s="17"/>
      <c r="F53" t="str" s="18" cm="1">
        <f t="array" ref="F53">_xlfn.TEXTJOIN(" ",1,C53,D53,E53)</f>
        <v>CASH SALE</v>
      </c>
      <c r="G53" t="s" s="19">
        <v>9</v>
      </c>
      <c r="H53" s="20">
        <v>1500</v>
      </c>
      <c r="I53" s="20">
        <v>4.5</v>
      </c>
      <c r="J53" s="20">
        <v>1500</v>
      </c>
      <c r="K53" t="s" s="19">
        <v>117</v>
      </c>
      <c r="L53" t="s" s="19">
        <v>35</v>
      </c>
      <c r="M53" t="str" s="18" cm="1">
        <f t="array" ref="M53">IF(F53="CASH SALE",K53,F53)</f>
        <v>DEVIDAS RA</v>
      </c>
    </row>
    <row r="54" ht="22.8" customHeight="1">
      <c r="A54" s="14">
        <v>45750</v>
      </c>
      <c r="B54" s="15">
        <v>53</v>
      </c>
      <c r="C54" t="s" s="16">
        <v>119</v>
      </c>
      <c r="D54" s="17"/>
      <c r="E54" s="17"/>
      <c r="F54" t="str" s="18" cm="1">
        <f t="array" ref="F54">_xlfn.TEXTJOIN(" ",1,C54,D54,E54)</f>
        <v>SHAILESH DUDHE</v>
      </c>
      <c r="G54" t="s" s="19">
        <v>9</v>
      </c>
      <c r="H54" s="20">
        <v>1500</v>
      </c>
      <c r="I54" s="20">
        <v>4.5</v>
      </c>
      <c r="J54" s="20">
        <v>1500</v>
      </c>
      <c r="K54" t="s" s="19">
        <v>121</v>
      </c>
      <c r="L54" t="s" s="19">
        <v>42</v>
      </c>
      <c r="M54" t="str" s="18" cm="1">
        <f t="array" ref="M54">IF(F54="CASH SALE",K54,F54)</f>
        <v>SHAILESH DUDHE</v>
      </c>
    </row>
    <row r="55" ht="23.15" customHeight="1">
      <c r="A55" s="22">
        <v>45751</v>
      </c>
      <c r="B55" s="23">
        <v>54</v>
      </c>
      <c r="C55" t="s" s="24">
        <v>7</v>
      </c>
      <c r="D55" s="25"/>
      <c r="E55" s="25"/>
      <c r="F55" t="str" s="26" cm="1">
        <f t="array" ref="F55">_xlfn.TEXTJOIN(" ",1,C55,D55,E55)</f>
        <v>CASH SALE</v>
      </c>
      <c r="G55" t="s" s="27">
        <v>9</v>
      </c>
      <c r="H55" s="28">
        <v>2500</v>
      </c>
      <c r="I55" s="28">
        <v>5.5</v>
      </c>
      <c r="J55" s="28">
        <v>2500</v>
      </c>
      <c r="K55" t="s" s="27">
        <v>122</v>
      </c>
      <c r="L55" t="s" s="27">
        <v>11</v>
      </c>
      <c r="M55" t="str" s="26" cm="1">
        <f t="array" ref="M55">IF(F55="CASH SALE",K55,F55)</f>
        <v>VIKRAM JIN</v>
      </c>
    </row>
    <row r="56" ht="23.15" customHeight="1">
      <c r="A56" s="7">
        <v>45751</v>
      </c>
      <c r="B56" s="8">
        <v>55</v>
      </c>
      <c r="C56" t="s" s="9">
        <v>7</v>
      </c>
      <c r="D56" s="10"/>
      <c r="E56" s="10"/>
      <c r="F56" t="str" s="11" cm="1">
        <f t="array" ref="F56">_xlfn.TEXTJOIN(" ",1,C56,D56,E56)</f>
        <v>CASH SALE</v>
      </c>
      <c r="G56" t="s" s="12">
        <v>9</v>
      </c>
      <c r="H56" s="13">
        <v>2500</v>
      </c>
      <c r="I56" s="13">
        <v>5</v>
      </c>
      <c r="J56" s="13">
        <v>2500</v>
      </c>
      <c r="K56" t="s" s="12">
        <v>124</v>
      </c>
      <c r="L56" t="s" s="12">
        <v>11</v>
      </c>
      <c r="M56" t="str" s="11" cm="1">
        <f t="array" ref="M56">IF(F56="CASH SALE",K56,F56)</f>
        <v>NITIN NIPU</v>
      </c>
    </row>
    <row r="57" ht="22.8" customHeight="1">
      <c r="A57" s="14">
        <v>45751</v>
      </c>
      <c r="B57" s="15">
        <v>56</v>
      </c>
      <c r="C57" t="s" s="16">
        <v>7</v>
      </c>
      <c r="D57" s="17"/>
      <c r="E57" s="17"/>
      <c r="F57" t="str" s="18" cm="1">
        <f t="array" ref="F57">_xlfn.TEXTJOIN(" ",1,C57,D57,E57)</f>
        <v>CASH SALE</v>
      </c>
      <c r="G57" t="s" s="19">
        <v>9</v>
      </c>
      <c r="H57" s="20">
        <v>3000</v>
      </c>
      <c r="I57" s="20">
        <v>5.75</v>
      </c>
      <c r="J57" s="20">
        <v>3000</v>
      </c>
      <c r="K57" t="s" s="19">
        <v>126</v>
      </c>
      <c r="L57" t="s" s="19">
        <v>27</v>
      </c>
      <c r="M57" t="str" s="18" cm="1">
        <f t="array" ref="M57">IF(F57="CASH SALE",K57,F57)</f>
        <v>NILESH CHA</v>
      </c>
    </row>
    <row r="58" ht="22.8" customHeight="1">
      <c r="A58" s="14">
        <v>45751</v>
      </c>
      <c r="B58" s="15">
        <v>57</v>
      </c>
      <c r="C58" t="s" s="16">
        <v>7</v>
      </c>
      <c r="D58" s="17"/>
      <c r="E58" s="17"/>
      <c r="F58" t="str" s="18" cm="1">
        <f t="array" ref="F58">_xlfn.TEXTJOIN(" ",1,C58,D58,E58)</f>
        <v>CASH SALE</v>
      </c>
      <c r="G58" t="s" s="19">
        <v>9</v>
      </c>
      <c r="H58" s="20">
        <v>3000</v>
      </c>
      <c r="I58" s="20">
        <v>5.4</v>
      </c>
      <c r="J58" s="20">
        <v>3000</v>
      </c>
      <c r="K58" t="s" s="19">
        <v>128</v>
      </c>
      <c r="L58" t="s" s="19">
        <v>27</v>
      </c>
      <c r="M58" t="str" s="18" cm="1">
        <f t="array" ref="M58">IF(F58="CASH SALE",K58,F58)</f>
        <v>KURAWATKAR</v>
      </c>
    </row>
    <row r="59" ht="22.8" customHeight="1">
      <c r="A59" s="14">
        <v>45751</v>
      </c>
      <c r="B59" s="15">
        <v>58</v>
      </c>
      <c r="C59" t="s" s="16">
        <v>7</v>
      </c>
      <c r="D59" s="17"/>
      <c r="E59" s="17"/>
      <c r="F59" t="str" s="18" cm="1">
        <f t="array" ref="F59">_xlfn.TEXTJOIN(" ",1,C59,D59,E59)</f>
        <v>CASH SALE</v>
      </c>
      <c r="G59" t="s" s="19">
        <v>9</v>
      </c>
      <c r="H59" s="20">
        <v>4000</v>
      </c>
      <c r="I59" s="20">
        <v>5.75</v>
      </c>
      <c r="J59" s="20">
        <v>4000</v>
      </c>
      <c r="K59" t="s" s="19">
        <v>130</v>
      </c>
      <c r="L59" t="s" s="19">
        <v>21</v>
      </c>
      <c r="M59" t="str" s="18" cm="1">
        <f t="array" ref="M59">IF(F59="CASH SALE",K59,F59)</f>
        <v>VIKAS BHOY</v>
      </c>
    </row>
    <row r="60" ht="22.8" customHeight="1">
      <c r="A60" s="14">
        <v>45751</v>
      </c>
      <c r="B60" s="15">
        <v>59</v>
      </c>
      <c r="C60" t="s" s="16">
        <v>7</v>
      </c>
      <c r="D60" s="17"/>
      <c r="E60" s="17"/>
      <c r="F60" t="str" s="18" cm="1">
        <f t="array" ref="F60">_xlfn.TEXTJOIN(" ",1,C60,D60,E60)</f>
        <v>CASH SALE</v>
      </c>
      <c r="G60" t="s" s="19">
        <v>9</v>
      </c>
      <c r="H60" s="20">
        <v>4000</v>
      </c>
      <c r="I60" s="20">
        <v>6</v>
      </c>
      <c r="J60" s="20">
        <v>4000</v>
      </c>
      <c r="K60" t="s" s="19">
        <v>132</v>
      </c>
      <c r="L60" t="s" s="19">
        <v>21</v>
      </c>
      <c r="M60" t="str" s="18" cm="1">
        <f t="array" ref="M60">IF(F60="CASH SALE",K60,F60)</f>
        <v>MAHESH DEU</v>
      </c>
    </row>
    <row r="61" ht="22.8" customHeight="1">
      <c r="A61" s="14">
        <v>45751</v>
      </c>
      <c r="B61" s="15">
        <v>60</v>
      </c>
      <c r="C61" t="s" s="16">
        <v>7</v>
      </c>
      <c r="D61" s="17"/>
      <c r="E61" s="17"/>
      <c r="F61" t="str" s="18" cm="1">
        <f t="array" ref="F61">_xlfn.TEXTJOIN(" ",1,C61,D61,E61)</f>
        <v>CASH SALE</v>
      </c>
      <c r="G61" t="s" s="19">
        <v>9</v>
      </c>
      <c r="H61" s="20">
        <v>4000</v>
      </c>
      <c r="I61" s="20">
        <v>5.75</v>
      </c>
      <c r="J61" s="20">
        <v>4000</v>
      </c>
      <c r="K61" t="s" s="19">
        <v>134</v>
      </c>
      <c r="L61" t="s" s="19">
        <v>16</v>
      </c>
      <c r="M61" t="str" s="18" cm="1">
        <f t="array" ref="M61">IF(F61="CASH SALE",K61,F61)</f>
        <v>SHAFIQ AHE</v>
      </c>
    </row>
    <row r="62" ht="22.8" customHeight="1">
      <c r="A62" s="14">
        <v>45751</v>
      </c>
      <c r="B62" s="15">
        <v>61</v>
      </c>
      <c r="C62" t="s" s="16">
        <v>23</v>
      </c>
      <c r="D62" s="17"/>
      <c r="E62" s="17"/>
      <c r="F62" t="str" s="18" cm="1">
        <f t="array" ref="F62">_xlfn.TEXTJOIN(" ",1,C62,D62,E62)</f>
        <v>CANCAL D M</v>
      </c>
      <c r="G62" t="s" s="19">
        <v>25</v>
      </c>
      <c r="H62" s="20">
        <v>1</v>
      </c>
      <c r="I62" s="20">
        <v>1</v>
      </c>
      <c r="J62" s="20">
        <v>1</v>
      </c>
      <c r="K62" s="18"/>
      <c r="L62" s="18"/>
      <c r="M62" t="str" s="18" cm="1">
        <f t="array" ref="M62">IF(F62="CASH SALE",K62,F62)</f>
        <v>CANCAL D M</v>
      </c>
    </row>
    <row r="63" ht="22.8" customHeight="1">
      <c r="A63" s="14">
        <v>45751</v>
      </c>
      <c r="B63" s="15">
        <v>62</v>
      </c>
      <c r="C63" t="s" s="16">
        <v>136</v>
      </c>
      <c r="D63" s="17"/>
      <c r="E63" s="17"/>
      <c r="F63" t="str" s="18" cm="1">
        <f t="array" ref="F63">_xlfn.TEXTJOIN(" ",1,C63,D63,E63)</f>
        <v>AVINASH UADE</v>
      </c>
      <c r="G63" t="s" s="19">
        <v>9</v>
      </c>
      <c r="H63" s="20">
        <v>1500</v>
      </c>
      <c r="I63" s="20">
        <v>4.5</v>
      </c>
      <c r="J63" s="20">
        <v>1500</v>
      </c>
      <c r="K63" t="s" s="19">
        <v>104</v>
      </c>
      <c r="L63" t="s" s="19">
        <v>35</v>
      </c>
      <c r="M63" t="str" s="18" cm="1">
        <f t="array" ref="M63">IF(F63="CASH SALE",K63,F63)</f>
        <v>AVINASH UADE</v>
      </c>
    </row>
    <row r="64" ht="22.8" customHeight="1">
      <c r="A64" s="14">
        <v>45751</v>
      </c>
      <c r="B64" s="15">
        <v>63</v>
      </c>
      <c r="C64" t="s" s="16">
        <v>7</v>
      </c>
      <c r="D64" s="17"/>
      <c r="E64" s="17"/>
      <c r="F64" t="str" s="18" cm="1">
        <f t="array" ref="F64">_xlfn.TEXTJOIN(" ",1,C64,D64,E64)</f>
        <v>CASH SALE</v>
      </c>
      <c r="G64" t="s" s="19">
        <v>9</v>
      </c>
      <c r="H64" s="20">
        <v>1500</v>
      </c>
      <c r="I64" s="20">
        <v>4.5</v>
      </c>
      <c r="J64" s="20">
        <v>1500</v>
      </c>
      <c r="K64" t="s" s="19">
        <v>138</v>
      </c>
      <c r="L64" t="s" s="19">
        <v>35</v>
      </c>
      <c r="M64" t="str" s="18" cm="1">
        <f t="array" ref="M64">IF(F64="CASH SALE",K64,F64)</f>
        <v>SAURABHA A</v>
      </c>
    </row>
    <row r="65" ht="22.8" customHeight="1">
      <c r="A65" s="14">
        <v>45751</v>
      </c>
      <c r="B65" s="15">
        <v>64</v>
      </c>
      <c r="C65" t="s" s="16">
        <v>7</v>
      </c>
      <c r="D65" s="17"/>
      <c r="E65" s="17"/>
      <c r="F65" t="str" s="18" cm="1">
        <f t="array" ref="F65">_xlfn.TEXTJOIN(" ",1,C65,D65,E65)</f>
        <v>CASH SALE</v>
      </c>
      <c r="G65" t="s" s="19">
        <v>9</v>
      </c>
      <c r="H65" s="20">
        <v>1500</v>
      </c>
      <c r="I65" s="20">
        <v>4.8</v>
      </c>
      <c r="J65" s="20">
        <v>1500</v>
      </c>
      <c r="K65" t="s" s="19">
        <v>140</v>
      </c>
      <c r="L65" t="s" s="19">
        <v>42</v>
      </c>
      <c r="M65" t="str" s="18" cm="1">
        <f t="array" ref="M65">IF(F65="CASH SALE",K65,F65)</f>
        <v>ARUN GAJJA</v>
      </c>
    </row>
    <row r="66" ht="22.8" customHeight="1">
      <c r="A66" s="14">
        <v>45751</v>
      </c>
      <c r="B66" s="15">
        <v>65</v>
      </c>
      <c r="C66" t="s" s="16">
        <v>142</v>
      </c>
      <c r="D66" s="17"/>
      <c r="E66" s="17"/>
      <c r="F66" t="str" s="18" cm="1">
        <f t="array" ref="F66">_xlfn.TEXTJOIN(" ",1,C66,D66,E66)</f>
        <v>RAJU YADAO</v>
      </c>
      <c r="G66" t="s" s="19">
        <v>9</v>
      </c>
      <c r="H66" s="20">
        <v>1500</v>
      </c>
      <c r="I66" s="20">
        <v>4.6</v>
      </c>
      <c r="J66" s="20">
        <v>1500</v>
      </c>
      <c r="K66" t="s" s="19">
        <v>144</v>
      </c>
      <c r="L66" t="s" s="19">
        <v>42</v>
      </c>
      <c r="M66" t="str" s="18" cm="1">
        <f t="array" ref="M66">IF(F66="CASH SALE",K66,F66)</f>
        <v>RAJU YADAO</v>
      </c>
    </row>
    <row r="67" ht="22.8" customHeight="1">
      <c r="A67" s="14">
        <v>45751</v>
      </c>
      <c r="B67" s="15">
        <v>66</v>
      </c>
      <c r="C67" t="s" s="16">
        <v>43</v>
      </c>
      <c r="D67" s="17"/>
      <c r="E67" s="17"/>
      <c r="F67" t="str" s="18" cm="1">
        <f t="array" ref="F67">_xlfn.TEXTJOIN(" ",1,C67,D67,E67)</f>
        <v>PANDIT PARODHE</v>
      </c>
      <c r="G67" t="s" s="19">
        <v>9</v>
      </c>
      <c r="H67" s="20">
        <v>1500</v>
      </c>
      <c r="I67" s="20">
        <v>5</v>
      </c>
      <c r="J67" s="20">
        <v>1500</v>
      </c>
      <c r="K67" t="s" s="19">
        <v>45</v>
      </c>
      <c r="L67" t="s" s="19">
        <v>30</v>
      </c>
      <c r="M67" t="str" s="18" cm="1">
        <f t="array" ref="M67">IF(F67="CASH SALE",K67,F67)</f>
        <v>PANDIT PARODHE</v>
      </c>
    </row>
    <row r="68" ht="22.8" customHeight="1">
      <c r="A68" s="14">
        <v>45751</v>
      </c>
      <c r="B68" s="15">
        <v>67</v>
      </c>
      <c r="C68" t="s" s="16">
        <v>39</v>
      </c>
      <c r="D68" s="17"/>
      <c r="E68" s="17"/>
      <c r="F68" t="str" s="18" cm="1">
        <f t="array" ref="F68">_xlfn.TEXTJOIN(" ",1,C68,D68,E68)</f>
        <v>MANISH TAPASE</v>
      </c>
      <c r="G68" t="s" s="19">
        <v>9</v>
      </c>
      <c r="H68" s="20">
        <v>1500</v>
      </c>
      <c r="I68" s="20">
        <v>4.27</v>
      </c>
      <c r="J68" s="20">
        <v>1500</v>
      </c>
      <c r="K68" t="s" s="19">
        <v>38</v>
      </c>
      <c r="L68" t="s" s="19">
        <v>30</v>
      </c>
      <c r="M68" t="str" s="18" cm="1">
        <f t="array" ref="M68">IF(F68="CASH SALE",K68,F68)</f>
        <v>MANISH TAPASE</v>
      </c>
    </row>
    <row r="69" ht="22.8" customHeight="1">
      <c r="A69" s="14">
        <v>45751</v>
      </c>
      <c r="B69" s="15">
        <v>68</v>
      </c>
      <c r="C69" t="s" s="16">
        <v>23</v>
      </c>
      <c r="D69" s="17"/>
      <c r="E69" s="17"/>
      <c r="F69" t="str" s="18" cm="1">
        <f t="array" ref="F69">_xlfn.TEXTJOIN(" ",1,C69,D69,E69)</f>
        <v>CANCAL D M</v>
      </c>
      <c r="G69" t="s" s="19">
        <v>25</v>
      </c>
      <c r="H69" s="20">
        <v>1</v>
      </c>
      <c r="I69" s="20">
        <v>1</v>
      </c>
      <c r="J69" s="20">
        <v>1</v>
      </c>
      <c r="K69" s="18"/>
      <c r="L69" s="18"/>
      <c r="M69" t="str" s="18" cm="1">
        <f t="array" ref="M69">IF(F69="CASH SALE",K69,F69)</f>
        <v>CANCAL D M</v>
      </c>
    </row>
    <row r="70" ht="22.8" customHeight="1">
      <c r="A70" s="14">
        <v>45751</v>
      </c>
      <c r="B70" s="15">
        <v>69</v>
      </c>
      <c r="C70" t="s" s="16">
        <v>7</v>
      </c>
      <c r="D70" s="17"/>
      <c r="E70" s="17"/>
      <c r="F70" t="str" s="18" cm="1">
        <f t="array" ref="F70">_xlfn.TEXTJOIN(" ",1,C70,D70,E70)</f>
        <v>CASH SALE</v>
      </c>
      <c r="G70" t="s" s="19">
        <v>9</v>
      </c>
      <c r="H70" s="20">
        <v>1500</v>
      </c>
      <c r="I70" s="20">
        <v>4.6</v>
      </c>
      <c r="J70" s="20">
        <v>1500</v>
      </c>
      <c r="K70" t="s" s="19">
        <v>145</v>
      </c>
      <c r="L70" t="s" s="19">
        <v>30</v>
      </c>
      <c r="M70" t="str" s="18" cm="1">
        <f t="array" ref="M70">IF(F70="CASH SALE",K70,F70)</f>
        <v>SANDIP KHU</v>
      </c>
    </row>
    <row r="71" ht="22.8" customHeight="1">
      <c r="A71" s="14">
        <v>45751</v>
      </c>
      <c r="B71" s="15">
        <v>70</v>
      </c>
      <c r="C71" t="s" s="16">
        <v>36</v>
      </c>
      <c r="D71" s="17"/>
      <c r="E71" s="17"/>
      <c r="F71" t="str" s="18" cm="1">
        <f t="array" ref="F71">_xlfn.TEXTJOIN(" ",1,C71,D71,E71)</f>
        <v>ABHAS SINGH</v>
      </c>
      <c r="G71" t="s" s="19">
        <v>9</v>
      </c>
      <c r="H71" s="20">
        <v>1500</v>
      </c>
      <c r="I71" s="20">
        <v>4.5</v>
      </c>
      <c r="J71" s="20">
        <v>1500</v>
      </c>
      <c r="K71" t="s" s="19">
        <v>38</v>
      </c>
      <c r="L71" t="s" s="19">
        <v>35</v>
      </c>
      <c r="M71" t="str" s="18" cm="1">
        <f t="array" ref="M71">IF(F71="CASH SALE",K71,F71)</f>
        <v>ABHAS SINGH</v>
      </c>
    </row>
    <row r="72" ht="22.8" customHeight="1">
      <c r="A72" s="14">
        <v>45751</v>
      </c>
      <c r="B72" s="15">
        <v>71</v>
      </c>
      <c r="C72" t="s" s="16">
        <v>72</v>
      </c>
      <c r="D72" s="17"/>
      <c r="E72" s="17"/>
      <c r="F72" t="str" s="18" cm="1">
        <f t="array" ref="F72">_xlfn.TEXTJOIN(" ",1,C72,D72,E72)</f>
        <v>SANTOSH PUNYAPAWAR</v>
      </c>
      <c r="G72" t="s" s="19">
        <v>9</v>
      </c>
      <c r="H72" s="20">
        <v>1500</v>
      </c>
      <c r="I72" s="20">
        <v>4.4</v>
      </c>
      <c r="J72" s="20">
        <v>1500</v>
      </c>
      <c r="K72" s="18"/>
      <c r="L72" t="s" s="19">
        <v>42</v>
      </c>
      <c r="M72" t="str" s="18" cm="1">
        <f t="array" ref="M72">IF(F72="CASH SALE",K72,F72)</f>
        <v>SANTOSH PUNYAPAWAR</v>
      </c>
    </row>
    <row r="73" ht="22.8" customHeight="1">
      <c r="A73" s="14">
        <v>45751</v>
      </c>
      <c r="B73" s="15">
        <v>72</v>
      </c>
      <c r="C73" t="s" s="16">
        <v>99</v>
      </c>
      <c r="D73" s="17"/>
      <c r="E73" s="17"/>
      <c r="F73" t="str" s="18" cm="1">
        <f t="array" ref="F73">_xlfn.TEXTJOIN(" ",1,C73,D73,E73)</f>
        <v>GAURAO NANDURKAR</v>
      </c>
      <c r="G73" t="s" s="19">
        <v>9</v>
      </c>
      <c r="H73" s="20">
        <v>1500</v>
      </c>
      <c r="I73" s="20">
        <v>4.5</v>
      </c>
      <c r="J73" s="20">
        <v>1500</v>
      </c>
      <c r="K73" t="s" s="19">
        <v>147</v>
      </c>
      <c r="L73" t="s" s="19">
        <v>30</v>
      </c>
      <c r="M73" t="str" s="18" cm="1">
        <f t="array" ref="M73">IF(F73="CASH SALE",K73,F73)</f>
        <v>GAURAO NANDURKAR</v>
      </c>
    </row>
    <row r="74" ht="22.8" customHeight="1">
      <c r="A74" s="14">
        <v>45751</v>
      </c>
      <c r="B74" s="15">
        <v>73</v>
      </c>
      <c r="C74" t="s" s="16">
        <v>105</v>
      </c>
      <c r="D74" s="17"/>
      <c r="E74" s="17"/>
      <c r="F74" t="str" s="18" cm="1">
        <f t="array" ref="F74">_xlfn.TEXTJOIN(" ",1,C74,D74,E74)</f>
        <v>THAKARE THEKEDAR</v>
      </c>
      <c r="G74" t="s" s="19">
        <v>9</v>
      </c>
      <c r="H74" s="20">
        <v>1500</v>
      </c>
      <c r="I74" s="20">
        <v>4.5</v>
      </c>
      <c r="J74" s="20">
        <v>1500</v>
      </c>
      <c r="K74" t="s" s="19">
        <v>107</v>
      </c>
      <c r="L74" t="s" s="19">
        <v>35</v>
      </c>
      <c r="M74" t="str" s="18" cm="1">
        <f t="array" ref="M74">IF(F74="CASH SALE",K74,F74)</f>
        <v>THAKARE THEKEDAR</v>
      </c>
    </row>
    <row r="75" ht="22.8" customHeight="1">
      <c r="A75" s="14">
        <v>45751</v>
      </c>
      <c r="B75" s="15">
        <v>74</v>
      </c>
      <c r="C75" t="s" s="16">
        <v>148</v>
      </c>
      <c r="D75" s="17"/>
      <c r="E75" s="17"/>
      <c r="F75" t="str" s="18" cm="1">
        <f t="array" ref="F75">_xlfn.TEXTJOIN(" ",1,C75,D75,E75)</f>
        <v>PAVAN BAVISKAR</v>
      </c>
      <c r="G75" t="s" s="19">
        <v>9</v>
      </c>
      <c r="H75" s="20">
        <v>1500</v>
      </c>
      <c r="I75" s="20">
        <v>4.5</v>
      </c>
      <c r="J75" s="20">
        <v>1500</v>
      </c>
      <c r="K75" t="s" s="19">
        <v>150</v>
      </c>
      <c r="L75" t="s" s="19">
        <v>42</v>
      </c>
      <c r="M75" t="str" s="18" cm="1">
        <f t="array" ref="M75">IF(F75="CASH SALE",K75,F75)</f>
        <v>PAVAN BAVISKAR</v>
      </c>
    </row>
    <row r="76" ht="22.8" customHeight="1">
      <c r="A76" s="14">
        <v>45752</v>
      </c>
      <c r="B76" s="15">
        <v>75</v>
      </c>
      <c r="C76" t="s" s="16">
        <v>7</v>
      </c>
      <c r="D76" s="17"/>
      <c r="E76" s="17"/>
      <c r="F76" t="str" s="18" cm="1">
        <f t="array" ref="F76">_xlfn.TEXTJOIN(" ",1,C76,D76,E76)</f>
        <v>CASH SALE</v>
      </c>
      <c r="G76" t="s" s="19">
        <v>9</v>
      </c>
      <c r="H76" s="20">
        <v>2500</v>
      </c>
      <c r="I76" s="20">
        <v>5.75</v>
      </c>
      <c r="J76" s="20">
        <v>2500</v>
      </c>
      <c r="K76" t="s" s="19">
        <v>151</v>
      </c>
      <c r="L76" t="s" s="19">
        <v>11</v>
      </c>
      <c r="M76" t="str" s="18" cm="1">
        <f t="array" ref="M76">IF(F76="CASH SALE",K76,F76)</f>
        <v>SANJAY BHO</v>
      </c>
    </row>
    <row r="77" ht="22.8" customHeight="1">
      <c r="A77" s="14">
        <v>45752</v>
      </c>
      <c r="B77" s="15">
        <v>76</v>
      </c>
      <c r="C77" t="s" s="16">
        <v>7</v>
      </c>
      <c r="D77" s="17"/>
      <c r="E77" s="17"/>
      <c r="F77" t="str" s="18" cm="1">
        <f t="array" ref="F77">_xlfn.TEXTJOIN(" ",1,C77,D77,E77)</f>
        <v>CASH SALE</v>
      </c>
      <c r="G77" t="s" s="19">
        <v>9</v>
      </c>
      <c r="H77" s="20">
        <v>2500</v>
      </c>
      <c r="I77" s="20">
        <v>5.3</v>
      </c>
      <c r="J77" s="20">
        <v>2500</v>
      </c>
      <c r="K77" t="s" s="19">
        <v>13</v>
      </c>
      <c r="L77" t="s" s="19">
        <v>11</v>
      </c>
      <c r="M77" t="str" s="18" cm="1">
        <f t="array" ref="M77">IF(F77="CASH SALE",K77,F77)</f>
        <v>SWAPNIL MU</v>
      </c>
    </row>
    <row r="78" ht="22.8" customHeight="1">
      <c r="A78" s="14">
        <v>45752</v>
      </c>
      <c r="B78" s="15">
        <v>77</v>
      </c>
      <c r="C78" t="s" s="16">
        <v>7</v>
      </c>
      <c r="D78" s="17"/>
      <c r="E78" s="17"/>
      <c r="F78" t="str" s="18" cm="1">
        <f t="array" ref="F78">_xlfn.TEXTJOIN(" ",1,C78,D78,E78)</f>
        <v>CASH SALE</v>
      </c>
      <c r="G78" t="s" s="19">
        <v>9</v>
      </c>
      <c r="H78" s="20">
        <v>3000</v>
      </c>
      <c r="I78" s="20">
        <v>5.75</v>
      </c>
      <c r="J78" s="20">
        <v>3000</v>
      </c>
      <c r="K78" t="s" s="19">
        <v>153</v>
      </c>
      <c r="L78" t="s" s="19">
        <v>27</v>
      </c>
      <c r="M78" t="str" s="18" cm="1">
        <f t="array" ref="M78">IF(F78="CASH SALE",K78,F78)</f>
        <v>ABHAY GOVA</v>
      </c>
    </row>
    <row r="79" ht="22.8" customHeight="1">
      <c r="A79" s="14">
        <v>45752</v>
      </c>
      <c r="B79" s="15">
        <v>78</v>
      </c>
      <c r="C79" t="s" s="16">
        <v>7</v>
      </c>
      <c r="D79" s="17"/>
      <c r="E79" s="17"/>
      <c r="F79" t="str" s="18" cm="1">
        <f t="array" ref="F79">_xlfn.TEXTJOIN(" ",1,C79,D79,E79)</f>
        <v>CASH SALE</v>
      </c>
      <c r="G79" t="s" s="19">
        <v>9</v>
      </c>
      <c r="H79" s="20">
        <v>3000</v>
      </c>
      <c r="I79" s="20">
        <v>5.25</v>
      </c>
      <c r="J79" s="20">
        <v>3000</v>
      </c>
      <c r="K79" t="s" s="19">
        <v>155</v>
      </c>
      <c r="L79" t="s" s="19">
        <v>27</v>
      </c>
      <c r="M79" t="str" s="18" cm="1">
        <f t="array" ref="M79">IF(F79="CASH SALE",K79,F79)</f>
        <v>HARSHAL DA</v>
      </c>
    </row>
    <row r="80" ht="22.8" customHeight="1">
      <c r="A80" s="14">
        <v>45752</v>
      </c>
      <c r="B80" s="15">
        <v>79</v>
      </c>
      <c r="C80" t="s" s="16">
        <v>7</v>
      </c>
      <c r="D80" s="17"/>
      <c r="E80" s="17"/>
      <c r="F80" t="str" s="18" cm="1">
        <f t="array" ref="F80">_xlfn.TEXTJOIN(" ",1,C80,D80,E80)</f>
        <v>CASH SALE</v>
      </c>
      <c r="G80" t="s" s="19">
        <v>9</v>
      </c>
      <c r="H80" s="20">
        <v>4000</v>
      </c>
      <c r="I80" s="20">
        <v>6</v>
      </c>
      <c r="J80" s="20">
        <v>4000</v>
      </c>
      <c r="K80" t="s" s="19">
        <v>157</v>
      </c>
      <c r="L80" t="s" s="19">
        <v>21</v>
      </c>
      <c r="M80" t="str" s="18" cm="1">
        <f t="array" ref="M80">IF(F80="CASH SALE",K80,F80)</f>
        <v>DATTU GATA</v>
      </c>
    </row>
    <row r="81" ht="22.8" customHeight="1">
      <c r="A81" s="14">
        <v>45752</v>
      </c>
      <c r="B81" s="15">
        <v>80</v>
      </c>
      <c r="C81" t="s" s="16">
        <v>23</v>
      </c>
      <c r="D81" s="17"/>
      <c r="E81" s="17"/>
      <c r="F81" t="str" s="18" cm="1">
        <f t="array" ref="F81">_xlfn.TEXTJOIN(" ",1,C81,D81,E81)</f>
        <v>CANCAL D M</v>
      </c>
      <c r="G81" t="s" s="19">
        <v>25</v>
      </c>
      <c r="H81" s="20">
        <v>1</v>
      </c>
      <c r="I81" s="20">
        <v>1</v>
      </c>
      <c r="J81" s="20">
        <v>1</v>
      </c>
      <c r="K81" s="18"/>
      <c r="L81" s="18"/>
      <c r="M81" t="str" s="18" cm="1">
        <f t="array" ref="M81">IF(F81="CASH SALE",K81,F81)</f>
        <v>CANCAL D M</v>
      </c>
    </row>
    <row r="82" ht="22.8" customHeight="1">
      <c r="A82" s="14">
        <v>45752</v>
      </c>
      <c r="B82" s="15">
        <v>81</v>
      </c>
      <c r="C82" t="s" s="16">
        <v>7</v>
      </c>
      <c r="D82" s="17"/>
      <c r="E82" s="17"/>
      <c r="F82" t="str" s="18" cm="1">
        <f t="array" ref="F82">_xlfn.TEXTJOIN(" ",1,C82,D82,E82)</f>
        <v>CASH SALE</v>
      </c>
      <c r="G82" t="s" s="19">
        <v>9</v>
      </c>
      <c r="H82" s="20">
        <v>4000</v>
      </c>
      <c r="I82" s="20">
        <v>5.75</v>
      </c>
      <c r="J82" s="20">
        <v>4000</v>
      </c>
      <c r="K82" t="s" s="19">
        <v>159</v>
      </c>
      <c r="L82" t="s" s="19">
        <v>16</v>
      </c>
      <c r="M82" t="str" s="18" cm="1">
        <f t="array" ref="M82">IF(F82="CASH SALE",K82,F82)</f>
        <v>SANDIP TUR</v>
      </c>
    </row>
    <row r="83" ht="22.8" customHeight="1">
      <c r="A83" s="14">
        <v>45752</v>
      </c>
      <c r="B83" s="15">
        <v>82</v>
      </c>
      <c r="C83" t="s" s="16">
        <v>7</v>
      </c>
      <c r="D83" s="17"/>
      <c r="E83" s="17"/>
      <c r="F83" t="str" s="18" cm="1">
        <f t="array" ref="F83">_xlfn.TEXTJOIN(" ",1,C83,D83,E83)</f>
        <v>CASH SALE</v>
      </c>
      <c r="G83" t="s" s="19">
        <v>9</v>
      </c>
      <c r="H83" s="20">
        <v>4000</v>
      </c>
      <c r="I83" s="20">
        <v>5.5</v>
      </c>
      <c r="J83" s="20">
        <v>4000</v>
      </c>
      <c r="K83" t="s" s="19">
        <v>161</v>
      </c>
      <c r="L83" t="s" s="19">
        <v>16</v>
      </c>
      <c r="M83" t="str" s="18" cm="1">
        <f t="array" ref="M83">IF(F83="CASH SALE",K83,F83)</f>
        <v>PRAVIN MAD</v>
      </c>
    </row>
    <row r="84" ht="22.8" customHeight="1">
      <c r="A84" s="14">
        <v>45752</v>
      </c>
      <c r="B84" s="15">
        <v>83</v>
      </c>
      <c r="C84" t="s" s="16">
        <v>23</v>
      </c>
      <c r="D84" s="17"/>
      <c r="E84" s="17"/>
      <c r="F84" t="str" s="18" cm="1">
        <f t="array" ref="F84">_xlfn.TEXTJOIN(" ",1,C84,D84,E84)</f>
        <v>CANCAL D M</v>
      </c>
      <c r="G84" t="s" s="19">
        <v>25</v>
      </c>
      <c r="H84" s="20">
        <v>1</v>
      </c>
      <c r="I84" s="20">
        <v>1</v>
      </c>
      <c r="J84" s="20">
        <v>1</v>
      </c>
      <c r="K84" s="18"/>
      <c r="L84" s="18"/>
      <c r="M84" t="str" s="18" cm="1">
        <f t="array" ref="M84">IF(F84="CASH SALE",K84,F84)</f>
        <v>CANCAL D M</v>
      </c>
    </row>
    <row r="85" ht="22.8" customHeight="1">
      <c r="A85" s="14">
        <v>45752</v>
      </c>
      <c r="B85" s="15">
        <v>84</v>
      </c>
      <c r="C85" t="s" s="16">
        <v>105</v>
      </c>
      <c r="D85" s="17"/>
      <c r="E85" s="17"/>
      <c r="F85" t="str" s="18" cm="1">
        <f t="array" ref="F85">_xlfn.TEXTJOIN(" ",1,C85,D85,E85)</f>
        <v>THAKARE THEKEDAR</v>
      </c>
      <c r="G85" t="s" s="19">
        <v>9</v>
      </c>
      <c r="H85" s="20">
        <v>1500</v>
      </c>
      <c r="I85" s="20">
        <v>4.5</v>
      </c>
      <c r="J85" s="20">
        <v>1500</v>
      </c>
      <c r="K85" t="s" s="19">
        <v>38</v>
      </c>
      <c r="L85" t="s" s="19">
        <v>35</v>
      </c>
      <c r="M85" t="str" s="18" cm="1">
        <f t="array" ref="M85">IF(F85="CASH SALE",K85,F85)</f>
        <v>THAKARE THEKEDAR</v>
      </c>
    </row>
    <row r="86" ht="22.8" customHeight="1">
      <c r="A86" s="14">
        <v>45752</v>
      </c>
      <c r="B86" s="15">
        <v>85</v>
      </c>
      <c r="C86" t="s" s="16">
        <v>163</v>
      </c>
      <c r="D86" s="17"/>
      <c r="E86" s="17"/>
      <c r="F86" t="str" s="18" cm="1">
        <f t="array" ref="F86">_xlfn.TEXTJOIN(" ",1,C86,D86,E86)</f>
        <v>KISHOR AATRAM</v>
      </c>
      <c r="G86" t="s" s="19">
        <v>9</v>
      </c>
      <c r="H86" s="20">
        <v>1500</v>
      </c>
      <c r="I86" s="20">
        <v>4.4</v>
      </c>
      <c r="J86" s="20">
        <v>1500</v>
      </c>
      <c r="K86" t="s" s="19">
        <v>104</v>
      </c>
      <c r="L86" t="s" s="19">
        <v>30</v>
      </c>
      <c r="M86" t="str" s="18" cm="1">
        <f t="array" ref="M86">IF(F86="CASH SALE",K86,F86)</f>
        <v>KISHOR AATRAM</v>
      </c>
    </row>
    <row r="87" ht="22.8" customHeight="1">
      <c r="A87" s="14">
        <v>45752</v>
      </c>
      <c r="B87" s="15">
        <v>86</v>
      </c>
      <c r="C87" t="s" s="16">
        <v>165</v>
      </c>
      <c r="D87" s="17"/>
      <c r="E87" s="17"/>
      <c r="F87" t="str" s="18" cm="1">
        <f t="array" ref="F87">_xlfn.TEXTJOIN(" ",1,C87,D87,E87)</f>
        <v>YOGESH NISTANE</v>
      </c>
      <c r="G87" t="s" s="19">
        <v>9</v>
      </c>
      <c r="H87" s="20">
        <v>1500</v>
      </c>
      <c r="I87" s="20">
        <v>4.6</v>
      </c>
      <c r="J87" s="20">
        <v>1500</v>
      </c>
      <c r="K87" t="s" s="19">
        <v>167</v>
      </c>
      <c r="L87" t="s" s="19">
        <v>30</v>
      </c>
      <c r="M87" t="str" s="18" cm="1">
        <f t="array" ref="M87">IF(F87="CASH SALE",K87,F87)</f>
        <v>YOGESH NISTANE</v>
      </c>
    </row>
    <row r="88" ht="22.8" customHeight="1">
      <c r="A88" s="14">
        <v>45752</v>
      </c>
      <c r="B88" s="15">
        <v>87</v>
      </c>
      <c r="C88" t="s" s="16">
        <v>7</v>
      </c>
      <c r="D88" s="17"/>
      <c r="E88" s="17"/>
      <c r="F88" t="str" s="18" cm="1">
        <f t="array" ref="F88">_xlfn.TEXTJOIN(" ",1,C88,D88,E88)</f>
        <v>CASH SALE</v>
      </c>
      <c r="G88" t="s" s="19">
        <v>9</v>
      </c>
      <c r="H88" s="20">
        <v>1500</v>
      </c>
      <c r="I88" s="20">
        <v>4.8</v>
      </c>
      <c r="J88" s="20">
        <v>1500</v>
      </c>
      <c r="K88" t="s" s="19">
        <v>140</v>
      </c>
      <c r="L88" t="s" s="19">
        <v>42</v>
      </c>
      <c r="M88" t="str" s="18" cm="1">
        <f t="array" ref="M88">IF(F88="CASH SALE",K88,F88)</f>
        <v>ARUN GAJJA</v>
      </c>
    </row>
    <row r="89" ht="22.8" customHeight="1">
      <c r="A89" s="14">
        <v>45752</v>
      </c>
      <c r="B89" s="15">
        <v>88</v>
      </c>
      <c r="C89" t="s" s="16">
        <v>168</v>
      </c>
      <c r="D89" s="17"/>
      <c r="E89" s="17"/>
      <c r="F89" t="str" s="18" cm="1">
        <f t="array" ref="F89">_xlfn.TEXTJOIN(" ",1,C89,D89,E89)</f>
        <v>SHUBHAM BONDE</v>
      </c>
      <c r="G89" t="s" s="19">
        <v>9</v>
      </c>
      <c r="H89" s="20">
        <v>1500</v>
      </c>
      <c r="I89" s="20">
        <v>4.6</v>
      </c>
      <c r="J89" s="20">
        <v>1500</v>
      </c>
      <c r="K89" t="s" s="19">
        <v>170</v>
      </c>
      <c r="L89" t="s" s="19">
        <v>42</v>
      </c>
      <c r="M89" t="str" s="18" cm="1">
        <f t="array" ref="M89">IF(F89="CASH SALE",K89,F89)</f>
        <v>SHUBHAM BONDE</v>
      </c>
    </row>
    <row r="90" ht="22.8" customHeight="1">
      <c r="A90" s="14">
        <v>45752</v>
      </c>
      <c r="B90" s="15">
        <v>89</v>
      </c>
      <c r="C90" t="s" s="16">
        <v>171</v>
      </c>
      <c r="D90" s="17"/>
      <c r="E90" s="17"/>
      <c r="F90" t="str" s="18" cm="1">
        <f t="array" ref="F90">_xlfn.TEXTJOIN(" ",1,C90,D90,E90)</f>
        <v>SACHIN LINGOJWAR</v>
      </c>
      <c r="G90" t="s" s="19">
        <v>9</v>
      </c>
      <c r="H90" s="20">
        <v>1500</v>
      </c>
      <c r="I90" s="20">
        <v>4.5</v>
      </c>
      <c r="J90" s="20">
        <v>1500</v>
      </c>
      <c r="K90" t="s" s="19">
        <v>173</v>
      </c>
      <c r="L90" t="s" s="19">
        <v>35</v>
      </c>
      <c r="M90" t="str" s="18" cm="1">
        <f t="array" ref="M90">IF(F90="CASH SALE",K90,F90)</f>
        <v>SACHIN LINGOJWAR</v>
      </c>
    </row>
    <row r="91" ht="22.8" customHeight="1">
      <c r="A91" s="14">
        <v>45752</v>
      </c>
      <c r="B91" s="15">
        <v>90</v>
      </c>
      <c r="C91" t="s" s="16">
        <v>36</v>
      </c>
      <c r="D91" s="17"/>
      <c r="E91" s="17"/>
      <c r="F91" t="str" s="18" cm="1">
        <f t="array" ref="F91">_xlfn.TEXTJOIN(" ",1,C91,D91,E91)</f>
        <v>ABHAS SINGH</v>
      </c>
      <c r="G91" t="s" s="19">
        <v>9</v>
      </c>
      <c r="H91" s="20">
        <v>1500</v>
      </c>
      <c r="I91" s="20">
        <v>4.5</v>
      </c>
      <c r="J91" s="20">
        <v>1500</v>
      </c>
      <c r="K91" t="s" s="19">
        <v>38</v>
      </c>
      <c r="L91" t="s" s="19">
        <v>35</v>
      </c>
      <c r="M91" t="str" s="18" cm="1">
        <f t="array" ref="M91">IF(F91="CASH SALE",K91,F91)</f>
        <v>ABHAS SINGH</v>
      </c>
    </row>
    <row r="92" ht="22.8" customHeight="1">
      <c r="A92" s="14">
        <v>45752</v>
      </c>
      <c r="B92" s="15">
        <v>91</v>
      </c>
      <c r="C92" t="s" s="16">
        <v>99</v>
      </c>
      <c r="D92" s="17"/>
      <c r="E92" s="17"/>
      <c r="F92" t="str" s="18" cm="1">
        <f t="array" ref="F92">_xlfn.TEXTJOIN(" ",1,C92,D92,E92)</f>
        <v>GAURAO NANDURKAR</v>
      </c>
      <c r="G92" t="s" s="19">
        <v>9</v>
      </c>
      <c r="H92" s="20">
        <v>1500</v>
      </c>
      <c r="I92" s="20">
        <v>4.5</v>
      </c>
      <c r="J92" s="20">
        <v>1500</v>
      </c>
      <c r="K92" t="s" s="19">
        <v>101</v>
      </c>
      <c r="L92" t="s" s="19">
        <v>30</v>
      </c>
      <c r="M92" t="str" s="18" cm="1">
        <f t="array" ref="M92">IF(F92="CASH SALE",K92,F92)</f>
        <v>GAURAO NANDURKAR</v>
      </c>
    </row>
    <row r="93" ht="22.8" customHeight="1">
      <c r="A93" s="14">
        <v>45752</v>
      </c>
      <c r="B93" s="15">
        <v>92</v>
      </c>
      <c r="C93" t="s" s="16">
        <v>55</v>
      </c>
      <c r="D93" s="17"/>
      <c r="E93" s="17"/>
      <c r="F93" t="str" s="18" cm="1">
        <f t="array" ref="F93">_xlfn.TEXTJOIN(" ",1,C93,D93,E93)</f>
        <v>ABHIJIT SOOR</v>
      </c>
      <c r="G93" t="s" s="19">
        <v>9</v>
      </c>
      <c r="H93" s="20">
        <v>1500</v>
      </c>
      <c r="I93" s="20">
        <v>4.5</v>
      </c>
      <c r="J93" s="20">
        <v>1500</v>
      </c>
      <c r="K93" t="s" s="19">
        <v>174</v>
      </c>
      <c r="L93" t="s" s="19">
        <v>42</v>
      </c>
      <c r="M93" t="str" s="18" cm="1">
        <f t="array" ref="M93">IF(F93="CASH SALE",K93,F93)</f>
        <v>ABHIJIT SOOR</v>
      </c>
    </row>
    <row r="94" ht="22.8" customHeight="1">
      <c r="A94" s="14">
        <v>45752</v>
      </c>
      <c r="B94" s="15">
        <v>93</v>
      </c>
      <c r="C94" t="s" s="16">
        <v>142</v>
      </c>
      <c r="D94" s="17"/>
      <c r="E94" s="17"/>
      <c r="F94" t="str" s="18" cm="1">
        <f t="array" ref="F94">_xlfn.TEXTJOIN(" ",1,C94,D94,E94)</f>
        <v>RAJU YADAO</v>
      </c>
      <c r="G94" t="s" s="19">
        <v>9</v>
      </c>
      <c r="H94" s="20">
        <v>1500</v>
      </c>
      <c r="I94" s="20">
        <v>4.6</v>
      </c>
      <c r="J94" s="20">
        <v>1500</v>
      </c>
      <c r="K94" t="s" s="19">
        <v>175</v>
      </c>
      <c r="L94" t="s" s="19">
        <v>30</v>
      </c>
      <c r="M94" t="str" s="18" cm="1">
        <f t="array" ref="M94">IF(F94="CASH SALE",K94,F94)</f>
        <v>RAJU YADAO</v>
      </c>
    </row>
    <row r="95" ht="22.8" customHeight="1">
      <c r="A95" s="14">
        <v>45752</v>
      </c>
      <c r="B95" s="15">
        <v>94</v>
      </c>
      <c r="C95" t="s" s="16">
        <v>7</v>
      </c>
      <c r="D95" s="17"/>
      <c r="E95" s="17"/>
      <c r="F95" t="str" s="18" cm="1">
        <f t="array" ref="F95">_xlfn.TEXTJOIN(" ",1,C95,D95,E95)</f>
        <v>CASH SALE</v>
      </c>
      <c r="G95" t="s" s="19">
        <v>9</v>
      </c>
      <c r="H95" s="20">
        <v>1500</v>
      </c>
      <c r="I95" s="20">
        <v>4.5</v>
      </c>
      <c r="J95" s="20">
        <v>1500</v>
      </c>
      <c r="K95" t="s" s="19">
        <v>176</v>
      </c>
      <c r="L95" t="s" s="19">
        <v>35</v>
      </c>
      <c r="M95" t="str" s="18" cm="1">
        <f t="array" ref="M95">IF(F95="CASH SALE",K95,F95)</f>
        <v>SAURABH AA</v>
      </c>
    </row>
    <row r="96" ht="22.8" customHeight="1">
      <c r="A96" s="14">
        <v>45752</v>
      </c>
      <c r="B96" s="15">
        <v>95</v>
      </c>
      <c r="C96" t="s" s="16">
        <v>113</v>
      </c>
      <c r="D96" s="17"/>
      <c r="E96" s="17"/>
      <c r="F96" t="str" s="18" cm="1">
        <f t="array" ref="F96">_xlfn.TEXTJOIN(" ",1,C96,D96,E96)</f>
        <v>BHUPESH REGUNDWAR</v>
      </c>
      <c r="G96" t="s" s="19">
        <v>9</v>
      </c>
      <c r="H96" s="20">
        <v>1500</v>
      </c>
      <c r="I96" s="20">
        <v>4.6</v>
      </c>
      <c r="J96" s="20">
        <v>1500</v>
      </c>
      <c r="K96" t="s" s="19">
        <v>178</v>
      </c>
      <c r="L96" t="s" s="19">
        <v>42</v>
      </c>
      <c r="M96" t="str" s="18" cm="1">
        <f t="array" ref="M96">IF(F96="CASH SALE",K96,F96)</f>
        <v>BHUPESH REGUNDWAR</v>
      </c>
    </row>
    <row r="97" ht="22.8" customHeight="1">
      <c r="A97" s="14">
        <v>45753</v>
      </c>
      <c r="B97" s="15">
        <v>96</v>
      </c>
      <c r="C97" t="s" s="16">
        <v>7</v>
      </c>
      <c r="D97" s="17"/>
      <c r="E97" s="17"/>
      <c r="F97" t="str" s="18" cm="1">
        <f t="array" ref="F97">_xlfn.TEXTJOIN(" ",1,C97,D97,E97)</f>
        <v>CASH SALE</v>
      </c>
      <c r="G97" t="s" s="19">
        <v>9</v>
      </c>
      <c r="H97" s="20">
        <v>3000</v>
      </c>
      <c r="I97" s="20">
        <v>6</v>
      </c>
      <c r="J97" s="20">
        <v>3000</v>
      </c>
      <c r="K97" t="s" s="19">
        <v>179</v>
      </c>
      <c r="L97" t="s" s="19">
        <v>27</v>
      </c>
      <c r="M97" t="str" s="18" cm="1">
        <f t="array" ref="M97">IF(F97="CASH SALE",K97,F97)</f>
        <v>VISHWNATH</v>
      </c>
    </row>
    <row r="98" ht="22.8" customHeight="1">
      <c r="A98" s="14">
        <v>45753</v>
      </c>
      <c r="B98" s="15">
        <v>97</v>
      </c>
      <c r="C98" t="s" s="16">
        <v>7</v>
      </c>
      <c r="D98" s="17"/>
      <c r="E98" s="17"/>
      <c r="F98" t="str" s="18" cm="1">
        <f t="array" ref="F98">_xlfn.TEXTJOIN(" ",1,C98,D98,E98)</f>
        <v>CASH SALE</v>
      </c>
      <c r="G98" t="s" s="19">
        <v>9</v>
      </c>
      <c r="H98" s="20">
        <v>3000</v>
      </c>
      <c r="I98" s="20">
        <v>5.5</v>
      </c>
      <c r="J98" s="20">
        <v>3000</v>
      </c>
      <c r="K98" t="s" s="19">
        <v>181</v>
      </c>
      <c r="L98" t="s" s="19">
        <v>27</v>
      </c>
      <c r="M98" t="str" s="18" cm="1">
        <f t="array" ref="M98">IF(F98="CASH SALE",K98,F98)</f>
        <v>LAXMAN URK</v>
      </c>
    </row>
    <row r="99" ht="22.8" customHeight="1">
      <c r="A99" s="14">
        <v>45753</v>
      </c>
      <c r="B99" s="15">
        <v>98</v>
      </c>
      <c r="C99" t="s" s="16">
        <v>7</v>
      </c>
      <c r="D99" s="17"/>
      <c r="E99" s="17"/>
      <c r="F99" t="str" s="18" cm="1">
        <f t="array" ref="F99">_xlfn.TEXTJOIN(" ",1,C99,D99,E99)</f>
        <v>CASH SALE</v>
      </c>
      <c r="G99" t="s" s="19">
        <v>9</v>
      </c>
      <c r="H99" s="20">
        <v>2500</v>
      </c>
      <c r="I99" s="20">
        <v>6</v>
      </c>
      <c r="J99" s="20">
        <v>2500</v>
      </c>
      <c r="K99" t="s" s="19">
        <v>183</v>
      </c>
      <c r="L99" t="s" s="19">
        <v>11</v>
      </c>
      <c r="M99" t="str" s="18" cm="1">
        <f t="array" ref="M99">IF(F99="CASH SALE",K99,F99)</f>
        <v>YADAO SASA</v>
      </c>
    </row>
    <row r="100" ht="22.8" customHeight="1">
      <c r="A100" s="14">
        <v>45753</v>
      </c>
      <c r="B100" s="15">
        <v>99</v>
      </c>
      <c r="C100" t="s" s="16">
        <v>7</v>
      </c>
      <c r="D100" s="17"/>
      <c r="E100" s="17"/>
      <c r="F100" t="str" s="18" cm="1">
        <f t="array" ref="F100">_xlfn.TEXTJOIN(" ",1,C100,D100,E100)</f>
        <v>CASH SALE</v>
      </c>
      <c r="G100" t="s" s="19">
        <v>9</v>
      </c>
      <c r="H100" s="20">
        <v>2500</v>
      </c>
      <c r="I100" s="20">
        <v>5.2</v>
      </c>
      <c r="J100" s="20">
        <v>2500</v>
      </c>
      <c r="K100" t="s" s="19">
        <v>185</v>
      </c>
      <c r="L100" t="s" s="19">
        <v>11</v>
      </c>
      <c r="M100" t="str" s="18" cm="1">
        <f t="array" ref="M100">IF(F100="CASH SALE",K100,F100)</f>
        <v>CHETAN PET</v>
      </c>
    </row>
    <row r="101" ht="22.8" customHeight="1">
      <c r="A101" s="14">
        <v>45753</v>
      </c>
      <c r="B101" s="15">
        <v>100</v>
      </c>
      <c r="C101" t="s" s="16">
        <v>7</v>
      </c>
      <c r="D101" s="17"/>
      <c r="E101" s="17"/>
      <c r="F101" t="str" s="18" cm="1">
        <f t="array" ref="F101">_xlfn.TEXTJOIN(" ",1,C101,D101,E101)</f>
        <v>CASH SALE</v>
      </c>
      <c r="G101" t="s" s="19">
        <v>9</v>
      </c>
      <c r="H101" s="20">
        <v>4000</v>
      </c>
      <c r="I101" s="20">
        <v>5.75</v>
      </c>
      <c r="J101" s="20">
        <v>4000</v>
      </c>
      <c r="K101" t="s" s="19">
        <v>187</v>
      </c>
      <c r="L101" t="s" s="19">
        <v>16</v>
      </c>
      <c r="M101" t="str" s="18" cm="1">
        <f t="array" ref="M101">IF(F101="CASH SALE",K101,F101)</f>
        <v>KAWADU MOH</v>
      </c>
    </row>
    <row r="102" ht="22.8" customHeight="1">
      <c r="A102" s="14">
        <v>45753</v>
      </c>
      <c r="B102" s="15">
        <v>101</v>
      </c>
      <c r="C102" t="s" s="16">
        <v>7</v>
      </c>
      <c r="D102" s="17"/>
      <c r="E102" s="17"/>
      <c r="F102" t="str" s="18" cm="1">
        <f t="array" ref="F102">_xlfn.TEXTJOIN(" ",1,C102,D102,E102)</f>
        <v>CASH SALE</v>
      </c>
      <c r="G102" t="s" s="19">
        <v>9</v>
      </c>
      <c r="H102" s="20">
        <v>4000</v>
      </c>
      <c r="I102" s="20">
        <v>5.25</v>
      </c>
      <c r="J102" s="20">
        <v>4000</v>
      </c>
      <c r="K102" t="s" s="19">
        <v>189</v>
      </c>
      <c r="L102" t="s" s="19">
        <v>16</v>
      </c>
      <c r="M102" t="str" s="18" cm="1">
        <f t="array" ref="M102">IF(F102="CASH SALE",K102,F102)</f>
        <v>NIKHIL KAR</v>
      </c>
    </row>
    <row r="103" ht="22.8" customHeight="1">
      <c r="A103" s="14">
        <v>45753</v>
      </c>
      <c r="B103" s="15">
        <v>102</v>
      </c>
      <c r="C103" t="s" s="16">
        <v>7</v>
      </c>
      <c r="D103" s="17"/>
      <c r="E103" s="17"/>
      <c r="F103" t="str" s="18" cm="1">
        <f t="array" ref="F103">_xlfn.TEXTJOIN(" ",1,C103,D103,E103)</f>
        <v>CASH SALE</v>
      </c>
      <c r="G103" t="s" s="19">
        <v>9</v>
      </c>
      <c r="H103" s="20">
        <v>4000</v>
      </c>
      <c r="I103" s="20">
        <v>5.5</v>
      </c>
      <c r="J103" s="20">
        <v>4000</v>
      </c>
      <c r="K103" t="s" s="19">
        <v>191</v>
      </c>
      <c r="L103" t="s" s="19">
        <v>21</v>
      </c>
      <c r="M103" t="str" s="18" cm="1">
        <f t="array" ref="M103">IF(F103="CASH SALE",K103,F103)</f>
        <v>GANESH AGI</v>
      </c>
    </row>
    <row r="104" ht="22.8" customHeight="1">
      <c r="A104" s="14">
        <v>45753</v>
      </c>
      <c r="B104" s="15">
        <v>103</v>
      </c>
      <c r="C104" t="s" s="16">
        <v>7</v>
      </c>
      <c r="D104" s="17"/>
      <c r="E104" s="17"/>
      <c r="F104" t="str" s="18" cm="1">
        <f t="array" ref="F104">_xlfn.TEXTJOIN(" ",1,C104,D104,E104)</f>
        <v>CASH SALE</v>
      </c>
      <c r="G104" t="s" s="19">
        <v>9</v>
      </c>
      <c r="H104" s="20">
        <v>4000</v>
      </c>
      <c r="I104" s="20">
        <v>6</v>
      </c>
      <c r="J104" s="20">
        <v>4000</v>
      </c>
      <c r="K104" t="s" s="19">
        <v>193</v>
      </c>
      <c r="L104" t="s" s="19">
        <v>21</v>
      </c>
      <c r="M104" t="str" s="18" cm="1">
        <f t="array" ref="M104">IF(F104="CASH SALE",K104,F104)</f>
        <v>SIDHARDH B</v>
      </c>
    </row>
    <row r="105" ht="22.8" customHeight="1">
      <c r="A105" s="14">
        <v>45753</v>
      </c>
      <c r="B105" s="15">
        <v>104</v>
      </c>
      <c r="C105" t="s" s="16">
        <v>39</v>
      </c>
      <c r="D105" s="17"/>
      <c r="E105" s="17"/>
      <c r="F105" t="str" s="18" cm="1">
        <f t="array" ref="F105">_xlfn.TEXTJOIN(" ",1,C105,D105,E105)</f>
        <v>MANISH TAPASE</v>
      </c>
      <c r="G105" t="s" s="19">
        <v>9</v>
      </c>
      <c r="H105" s="20">
        <v>1500</v>
      </c>
      <c r="I105" s="20">
        <v>4.27</v>
      </c>
      <c r="J105" s="20">
        <v>1500</v>
      </c>
      <c r="K105" t="s" s="19">
        <v>38</v>
      </c>
      <c r="L105" t="s" s="19">
        <v>42</v>
      </c>
      <c r="M105" t="str" s="18" cm="1">
        <f t="array" ref="M105">IF(F105="CASH SALE",K105,F105)</f>
        <v>MANISH TAPASE</v>
      </c>
    </row>
    <row r="106" ht="22.8" customHeight="1">
      <c r="A106" s="14">
        <v>45753</v>
      </c>
      <c r="B106" s="15">
        <v>105</v>
      </c>
      <c r="C106" t="s" s="16">
        <v>102</v>
      </c>
      <c r="D106" s="17"/>
      <c r="E106" s="17"/>
      <c r="F106" t="str" s="18" cm="1">
        <f t="array" ref="F106">_xlfn.TEXTJOIN(" ",1,C106,D106,E106)</f>
        <v>SUJAL CHANDANKHEDE</v>
      </c>
      <c r="G106" t="s" s="19">
        <v>9</v>
      </c>
      <c r="H106" s="20">
        <v>1500</v>
      </c>
      <c r="I106" s="20">
        <v>4.5</v>
      </c>
      <c r="J106" s="20">
        <v>1500</v>
      </c>
      <c r="K106" t="s" s="19">
        <v>104</v>
      </c>
      <c r="L106" t="s" s="19">
        <v>42</v>
      </c>
      <c r="M106" t="str" s="18" cm="1">
        <f t="array" ref="M106">IF(F106="CASH SALE",K106,F106)</f>
        <v>SUJAL CHANDANKHEDE</v>
      </c>
    </row>
    <row r="107" ht="22.8" customHeight="1">
      <c r="A107" s="14">
        <v>45753</v>
      </c>
      <c r="B107" s="15">
        <v>106</v>
      </c>
      <c r="C107" t="s" s="16">
        <v>195</v>
      </c>
      <c r="D107" s="17"/>
      <c r="E107" s="17"/>
      <c r="F107" t="str" s="18" cm="1">
        <f t="array" ref="F107">_xlfn.TEXTJOIN(" ",1,C107,D107,E107)</f>
        <v>PARMESHWAR LANDE</v>
      </c>
      <c r="G107" t="s" s="19">
        <v>9</v>
      </c>
      <c r="H107" s="20">
        <v>1500</v>
      </c>
      <c r="I107" s="20">
        <v>4.6</v>
      </c>
      <c r="J107" s="20">
        <v>1500</v>
      </c>
      <c r="K107" t="s" s="19">
        <v>197</v>
      </c>
      <c r="L107" t="s" s="19">
        <v>30</v>
      </c>
      <c r="M107" t="str" s="18" cm="1">
        <f t="array" ref="M107">IF(F107="CASH SALE",K107,F107)</f>
        <v>PARMESHWAR LANDE</v>
      </c>
    </row>
    <row r="108" ht="22.8" customHeight="1">
      <c r="A108" s="14">
        <v>45753</v>
      </c>
      <c r="B108" s="15">
        <v>107</v>
      </c>
      <c r="C108" t="s" s="16">
        <v>198</v>
      </c>
      <c r="D108" s="17"/>
      <c r="E108" s="17"/>
      <c r="F108" t="str" s="18" cm="1">
        <f t="array" ref="F108">_xlfn.TEXTJOIN(" ",1,C108,D108,E108)</f>
        <v>RENUKA H W</v>
      </c>
      <c r="G108" t="s" s="19">
        <v>9</v>
      </c>
      <c r="H108" s="20">
        <v>1500</v>
      </c>
      <c r="I108" s="20">
        <v>4.4</v>
      </c>
      <c r="J108" s="20">
        <v>1500</v>
      </c>
      <c r="K108" t="s" s="19">
        <v>104</v>
      </c>
      <c r="L108" t="s" s="19">
        <v>30</v>
      </c>
      <c r="M108" t="str" s="18" cm="1">
        <f t="array" ref="M108">IF(F108="CASH SALE",K108,F108)</f>
        <v>RENUKA H W</v>
      </c>
    </row>
    <row r="109" ht="22.8" customHeight="1">
      <c r="A109" s="14">
        <v>45753</v>
      </c>
      <c r="B109" s="15">
        <v>108</v>
      </c>
      <c r="C109" t="s" s="16">
        <v>136</v>
      </c>
      <c r="D109" s="17"/>
      <c r="E109" s="17"/>
      <c r="F109" t="str" s="18" cm="1">
        <f t="array" ref="F109">_xlfn.TEXTJOIN(" ",1,C109,D109,E109)</f>
        <v>AVINASH UADE</v>
      </c>
      <c r="G109" t="s" s="19">
        <v>9</v>
      </c>
      <c r="H109" s="20">
        <v>1500</v>
      </c>
      <c r="I109" s="20">
        <v>4.5</v>
      </c>
      <c r="J109" s="20">
        <v>1500</v>
      </c>
      <c r="K109" t="s" s="19">
        <v>104</v>
      </c>
      <c r="L109" t="s" s="19">
        <v>35</v>
      </c>
      <c r="M109" t="str" s="18" cm="1">
        <f t="array" ref="M109">IF(F109="CASH SALE",K109,F109)</f>
        <v>AVINASH UADE</v>
      </c>
    </row>
    <row r="110" ht="22.8" customHeight="1">
      <c r="A110" s="14">
        <v>45753</v>
      </c>
      <c r="B110" s="15">
        <v>109</v>
      </c>
      <c r="C110" t="s" s="16">
        <v>7</v>
      </c>
      <c r="D110" s="17"/>
      <c r="E110" s="17"/>
      <c r="F110" t="str" s="18" cm="1">
        <f t="array" ref="F110">_xlfn.TEXTJOIN(" ",1,C110,D110,E110)</f>
        <v>CASH SALE</v>
      </c>
      <c r="G110" t="s" s="19">
        <v>9</v>
      </c>
      <c r="H110" s="20">
        <v>1500</v>
      </c>
      <c r="I110" s="20">
        <v>4.5</v>
      </c>
      <c r="J110" s="20">
        <v>1500</v>
      </c>
      <c r="K110" t="s" s="19">
        <v>200</v>
      </c>
      <c r="L110" t="s" s="19">
        <v>35</v>
      </c>
      <c r="M110" t="str" s="18" cm="1">
        <f t="array" ref="M110">IF(F110="CASH SALE",K110,F110)</f>
        <v>ANUP WANKH</v>
      </c>
    </row>
    <row r="111" ht="22.8" customHeight="1">
      <c r="A111" s="14">
        <v>45753</v>
      </c>
      <c r="B111" s="15">
        <v>110</v>
      </c>
      <c r="C111" t="s" s="16">
        <v>148</v>
      </c>
      <c r="D111" s="17"/>
      <c r="E111" s="17"/>
      <c r="F111" t="str" s="18" cm="1">
        <f t="array" ref="F111">_xlfn.TEXTJOIN(" ",1,C111,D111,E111)</f>
        <v>PAVAN BAVISKAR</v>
      </c>
      <c r="G111" t="s" s="19">
        <v>9</v>
      </c>
      <c r="H111" s="20">
        <v>1500</v>
      </c>
      <c r="I111" s="20">
        <v>4.5</v>
      </c>
      <c r="J111" s="20">
        <v>1500</v>
      </c>
      <c r="K111" t="s" s="19">
        <v>150</v>
      </c>
      <c r="L111" t="s" s="19">
        <v>30</v>
      </c>
      <c r="M111" t="str" s="18" cm="1">
        <f t="array" ref="M111">IF(F111="CASH SALE",K111,F111)</f>
        <v>PAVAN BAVISKAR</v>
      </c>
    </row>
    <row r="112" ht="23.15" customHeight="1">
      <c r="A112" s="22">
        <v>45753</v>
      </c>
      <c r="B112" s="23">
        <v>111</v>
      </c>
      <c r="C112" t="s" s="24">
        <v>7</v>
      </c>
      <c r="D112" s="25"/>
      <c r="E112" s="25"/>
      <c r="F112" t="str" s="26" cm="1">
        <f t="array" ref="F112">_xlfn.TEXTJOIN(" ",1,C112,D112,E112)</f>
        <v>CASH SALE</v>
      </c>
      <c r="G112" t="s" s="27">
        <v>9</v>
      </c>
      <c r="H112" s="28">
        <v>1500</v>
      </c>
      <c r="I112" s="28">
        <v>4.5</v>
      </c>
      <c r="J112" s="28">
        <v>1500</v>
      </c>
      <c r="K112" t="s" s="27">
        <v>202</v>
      </c>
      <c r="L112" t="s" s="27">
        <v>42</v>
      </c>
      <c r="M112" t="str" s="26" cm="1">
        <f t="array" ref="M112">IF(F112="CASH SALE",K112,F112)</f>
        <v>PRAKASH CH</v>
      </c>
    </row>
    <row r="113" ht="23.15" customHeight="1">
      <c r="A113" s="7">
        <v>45753</v>
      </c>
      <c r="B113" s="8">
        <v>112</v>
      </c>
      <c r="C113" t="s" s="9">
        <v>36</v>
      </c>
      <c r="D113" s="10"/>
      <c r="E113" s="10"/>
      <c r="F113" t="str" s="11" cm="1">
        <f t="array" ref="F113">_xlfn.TEXTJOIN(" ",1,C113,D113,E113)</f>
        <v>ABHAS SINGH</v>
      </c>
      <c r="G113" t="s" s="12">
        <v>9</v>
      </c>
      <c r="H113" s="13">
        <v>1500</v>
      </c>
      <c r="I113" s="13">
        <v>4.5</v>
      </c>
      <c r="J113" s="13">
        <v>1500</v>
      </c>
      <c r="K113" t="s" s="12">
        <v>38</v>
      </c>
      <c r="L113" t="s" s="12">
        <v>35</v>
      </c>
      <c r="M113" t="str" s="11" cm="1">
        <f t="array" ref="M113">IF(F113="CASH SALE",K113,F113)</f>
        <v>ABHAS SINGH</v>
      </c>
    </row>
    <row r="114" ht="22.8" customHeight="1">
      <c r="A114" s="14">
        <v>45753</v>
      </c>
      <c r="B114" s="15">
        <v>113</v>
      </c>
      <c r="C114" t="s" s="16">
        <v>7</v>
      </c>
      <c r="D114" s="17"/>
      <c r="E114" s="17"/>
      <c r="F114" t="str" s="18" cm="1">
        <f t="array" ref="F114">_xlfn.TEXTJOIN(" ",1,C114,D114,E114)</f>
        <v>CASH SALE</v>
      </c>
      <c r="G114" t="s" s="19">
        <v>9</v>
      </c>
      <c r="H114" s="20">
        <v>1500</v>
      </c>
      <c r="I114" s="20">
        <v>4.5</v>
      </c>
      <c r="J114" s="20">
        <v>1500</v>
      </c>
      <c r="K114" t="s" s="19">
        <v>204</v>
      </c>
      <c r="L114" t="s" s="19">
        <v>30</v>
      </c>
      <c r="M114" t="str" s="18" cm="1">
        <f t="array" ref="M114">IF(F114="CASH SALE",K114,F114)</f>
        <v>THAKKAR CO</v>
      </c>
    </row>
    <row r="115" ht="22.8" customHeight="1">
      <c r="A115" s="14">
        <v>45753</v>
      </c>
      <c r="B115" s="15">
        <v>114</v>
      </c>
      <c r="C115" t="s" s="16">
        <v>168</v>
      </c>
      <c r="D115" s="17"/>
      <c r="E115" s="17"/>
      <c r="F115" t="str" s="18" cm="1">
        <f t="array" ref="F115">_xlfn.TEXTJOIN(" ",1,C115,D115,E115)</f>
        <v>SHUBHAM BONDE</v>
      </c>
      <c r="G115" t="s" s="19">
        <v>9</v>
      </c>
      <c r="H115" s="20">
        <v>1500</v>
      </c>
      <c r="I115" s="20">
        <v>4.6</v>
      </c>
      <c r="J115" s="20">
        <v>1500</v>
      </c>
      <c r="K115" t="s" s="19">
        <v>206</v>
      </c>
      <c r="L115" t="s" s="19">
        <v>42</v>
      </c>
      <c r="M115" t="str" s="18" cm="1">
        <f t="array" ref="M115">IF(F115="CASH SALE",K115,F115)</f>
        <v>SHUBHAM BONDE</v>
      </c>
    </row>
    <row r="116" ht="22.8" customHeight="1">
      <c r="A116" s="14">
        <v>45753</v>
      </c>
      <c r="B116" s="15">
        <v>115</v>
      </c>
      <c r="C116" t="s" s="16">
        <v>99</v>
      </c>
      <c r="D116" s="17"/>
      <c r="E116" s="17"/>
      <c r="F116" t="str" s="18" cm="1">
        <f t="array" ref="F116">_xlfn.TEXTJOIN(" ",1,C116,D116,E116)</f>
        <v>GAURAO NANDURKAR</v>
      </c>
      <c r="G116" t="s" s="19">
        <v>9</v>
      </c>
      <c r="H116" s="20">
        <v>1500</v>
      </c>
      <c r="I116" s="20">
        <v>4.5</v>
      </c>
      <c r="J116" s="20">
        <v>1500</v>
      </c>
      <c r="K116" t="s" s="19">
        <v>101</v>
      </c>
      <c r="L116" t="s" s="19">
        <v>35</v>
      </c>
      <c r="M116" t="str" s="18" cm="1">
        <f t="array" ref="M116">IF(F116="CASH SALE",K116,F116)</f>
        <v>GAURAO NANDURKAR</v>
      </c>
    </row>
    <row r="117" ht="22.8" customHeight="1">
      <c r="A117" s="14">
        <v>45754</v>
      </c>
      <c r="B117" s="15">
        <v>116</v>
      </c>
      <c r="C117" t="s" s="16">
        <v>7</v>
      </c>
      <c r="D117" s="17"/>
      <c r="E117" s="17"/>
      <c r="F117" t="str" s="18" cm="1">
        <f t="array" ref="F117">_xlfn.TEXTJOIN(" ",1,C117,D117,E117)</f>
        <v>CASH SALE</v>
      </c>
      <c r="G117" t="s" s="19">
        <v>9</v>
      </c>
      <c r="H117" s="20">
        <v>2500</v>
      </c>
      <c r="I117" s="20">
        <v>5.5</v>
      </c>
      <c r="J117" s="20">
        <v>2500</v>
      </c>
      <c r="K117" t="s" s="19">
        <v>207</v>
      </c>
      <c r="L117" t="s" s="19">
        <v>11</v>
      </c>
      <c r="M117" t="str" s="18" cm="1">
        <f t="array" ref="M117">IF(F117="CASH SALE",K117,F117)</f>
        <v>GANESH NIH</v>
      </c>
    </row>
    <row r="118" ht="22.8" customHeight="1">
      <c r="A118" s="14">
        <v>45754</v>
      </c>
      <c r="B118" s="15">
        <v>117</v>
      </c>
      <c r="C118" t="s" s="16">
        <v>7</v>
      </c>
      <c r="D118" s="17"/>
      <c r="E118" s="17"/>
      <c r="F118" t="str" s="18" cm="1">
        <f t="array" ref="F118">_xlfn.TEXTJOIN(" ",1,C118,D118,E118)</f>
        <v>CASH SALE</v>
      </c>
      <c r="G118" t="s" s="19">
        <v>9</v>
      </c>
      <c r="H118" s="20">
        <v>2500</v>
      </c>
      <c r="I118" s="20">
        <v>5.8</v>
      </c>
      <c r="J118" s="20">
        <v>2500</v>
      </c>
      <c r="K118" t="s" s="19">
        <v>209</v>
      </c>
      <c r="L118" t="s" s="19">
        <v>11</v>
      </c>
      <c r="M118" t="str" s="18" cm="1">
        <f t="array" ref="M118">IF(F118="CASH SALE",K118,F118)</f>
        <v>LAKHAMAPUR</v>
      </c>
    </row>
    <row r="119" ht="22.8" customHeight="1">
      <c r="A119" s="14">
        <v>45754</v>
      </c>
      <c r="B119" s="15">
        <v>118</v>
      </c>
      <c r="C119" t="s" s="16">
        <v>7</v>
      </c>
      <c r="D119" s="17"/>
      <c r="E119" s="17"/>
      <c r="F119" t="str" s="18" cm="1">
        <f t="array" ref="F119">_xlfn.TEXTJOIN(" ",1,C119,D119,E119)</f>
        <v>CASH SALE</v>
      </c>
      <c r="G119" t="s" s="19">
        <v>9</v>
      </c>
      <c r="H119" s="20">
        <v>4000</v>
      </c>
      <c r="I119" s="20">
        <v>6</v>
      </c>
      <c r="J119" s="20">
        <v>4000</v>
      </c>
      <c r="K119" t="s" s="19">
        <v>211</v>
      </c>
      <c r="L119" t="s" s="19">
        <v>16</v>
      </c>
      <c r="M119" t="str" s="18" cm="1">
        <f t="array" ref="M119">IF(F119="CASH SALE",K119,F119)</f>
        <v>MAHESH TIP</v>
      </c>
    </row>
    <row r="120" ht="22.8" customHeight="1">
      <c r="A120" s="14">
        <v>45754</v>
      </c>
      <c r="B120" s="15">
        <v>119</v>
      </c>
      <c r="C120" t="s" s="16">
        <v>7</v>
      </c>
      <c r="D120" s="17"/>
      <c r="E120" s="17"/>
      <c r="F120" t="str" s="18" cm="1">
        <f t="array" ref="F120">_xlfn.TEXTJOIN(" ",1,C120,D120,E120)</f>
        <v>CASH SALE</v>
      </c>
      <c r="G120" t="s" s="19">
        <v>9</v>
      </c>
      <c r="H120" s="20">
        <v>4000</v>
      </c>
      <c r="I120" s="20">
        <v>5.25</v>
      </c>
      <c r="J120" s="20">
        <v>4000</v>
      </c>
      <c r="K120" t="s" s="19">
        <v>213</v>
      </c>
      <c r="L120" t="s" s="19">
        <v>16</v>
      </c>
      <c r="M120" t="str" s="18" cm="1">
        <f t="array" ref="M120">IF(F120="CASH SALE",K120,F120)</f>
        <v>VIJAY KURE</v>
      </c>
    </row>
    <row r="121" ht="22.8" customHeight="1">
      <c r="A121" s="14">
        <v>45754</v>
      </c>
      <c r="B121" s="15">
        <v>121</v>
      </c>
      <c r="C121" t="s" s="16">
        <v>7</v>
      </c>
      <c r="D121" s="17"/>
      <c r="E121" s="17"/>
      <c r="F121" t="str" s="18" cm="1">
        <f t="array" ref="F121">_xlfn.TEXTJOIN(" ",1,C121,D121,E121)</f>
        <v>CASH SALE</v>
      </c>
      <c r="G121" t="s" s="19">
        <v>9</v>
      </c>
      <c r="H121" s="20">
        <v>3000</v>
      </c>
      <c r="I121" s="20">
        <v>5.25</v>
      </c>
      <c r="J121" s="20">
        <v>3000</v>
      </c>
      <c r="K121" t="s" s="19">
        <v>215</v>
      </c>
      <c r="L121" t="s" s="19">
        <v>27</v>
      </c>
      <c r="M121" t="str" s="18" cm="1">
        <f t="array" ref="M121">IF(F121="CASH SALE",K121,F121)</f>
        <v>ANIL BAVAN</v>
      </c>
    </row>
    <row r="122" ht="22.8" customHeight="1">
      <c r="A122" s="14">
        <v>45754</v>
      </c>
      <c r="B122" s="15">
        <v>122</v>
      </c>
      <c r="C122" t="s" s="16">
        <v>7</v>
      </c>
      <c r="D122" s="17"/>
      <c r="E122" s="17"/>
      <c r="F122" t="str" s="18" cm="1">
        <f t="array" ref="F122">_xlfn.TEXTJOIN(" ",1,C122,D122,E122)</f>
        <v>CASH SALE</v>
      </c>
      <c r="G122" t="s" s="19">
        <v>9</v>
      </c>
      <c r="H122" s="20">
        <v>4000</v>
      </c>
      <c r="I122" s="20">
        <v>6</v>
      </c>
      <c r="J122" s="20">
        <v>4000</v>
      </c>
      <c r="K122" t="s" s="19">
        <v>63</v>
      </c>
      <c r="L122" t="s" s="19">
        <v>21</v>
      </c>
      <c r="M122" t="str" s="18" cm="1">
        <f t="array" ref="M122">IF(F122="CASH SALE",K122,F122)</f>
        <v>VITTHAL RA</v>
      </c>
    </row>
    <row r="123" ht="22.8" customHeight="1">
      <c r="A123" s="14">
        <v>45754</v>
      </c>
      <c r="B123" s="15">
        <v>123</v>
      </c>
      <c r="C123" t="s" s="16">
        <v>23</v>
      </c>
      <c r="D123" s="17"/>
      <c r="E123" s="17"/>
      <c r="F123" t="str" s="18" cm="1">
        <f t="array" ref="F123">_xlfn.TEXTJOIN(" ",1,C123,D123,E123)</f>
        <v>CANCAL D M</v>
      </c>
      <c r="G123" t="s" s="19">
        <v>25</v>
      </c>
      <c r="H123" s="20">
        <v>1</v>
      </c>
      <c r="I123" s="20">
        <v>1</v>
      </c>
      <c r="J123" s="20">
        <v>1</v>
      </c>
      <c r="K123" s="18"/>
      <c r="L123" s="18"/>
      <c r="M123" t="str" s="18" cm="1">
        <f t="array" ref="M123">IF(F123="CASH SALE",K123,F123)</f>
        <v>CANCAL D M</v>
      </c>
    </row>
    <row r="124" ht="22.8" customHeight="1">
      <c r="A124" s="14">
        <v>45754</v>
      </c>
      <c r="B124" s="15">
        <v>124</v>
      </c>
      <c r="C124" t="s" s="16">
        <v>105</v>
      </c>
      <c r="D124" s="17"/>
      <c r="E124" s="17"/>
      <c r="F124" t="str" s="18" cm="1">
        <f t="array" ref="F124">_xlfn.TEXTJOIN(" ",1,C124,D124,E124)</f>
        <v>THAKARE THEKEDAR</v>
      </c>
      <c r="G124" t="s" s="19">
        <v>9</v>
      </c>
      <c r="H124" s="20">
        <v>1500</v>
      </c>
      <c r="I124" s="20">
        <v>4.5</v>
      </c>
      <c r="J124" s="20">
        <v>1500</v>
      </c>
      <c r="K124" t="s" s="19">
        <v>107</v>
      </c>
      <c r="L124" t="s" s="19">
        <v>35</v>
      </c>
      <c r="M124" t="str" s="18" cm="1">
        <f t="array" ref="M124">IF(F124="CASH SALE",K124,F124)</f>
        <v>THAKARE THEKEDAR</v>
      </c>
    </row>
    <row r="125" ht="22.8" customHeight="1">
      <c r="A125" s="14">
        <v>45754</v>
      </c>
      <c r="B125" s="15">
        <v>125</v>
      </c>
      <c r="C125" t="s" s="16">
        <v>7</v>
      </c>
      <c r="D125" s="17"/>
      <c r="E125" s="17"/>
      <c r="F125" t="str" s="18" cm="1">
        <f t="array" ref="F125">_xlfn.TEXTJOIN(" ",1,C125,D125,E125)</f>
        <v>CASH SALE</v>
      </c>
      <c r="G125" t="s" s="19">
        <v>9</v>
      </c>
      <c r="H125" s="20">
        <v>1500</v>
      </c>
      <c r="I125" s="20">
        <v>4.5</v>
      </c>
      <c r="J125" s="20">
        <v>1500</v>
      </c>
      <c r="K125" t="s" s="19">
        <v>217</v>
      </c>
      <c r="L125" t="s" s="19">
        <v>35</v>
      </c>
      <c r="M125" t="str" s="18" cm="1">
        <f t="array" ref="M125">IF(F125="CASH SALE",K125,F125)</f>
        <v>ANIL WANKH</v>
      </c>
    </row>
    <row r="126" ht="22.8" customHeight="1">
      <c r="A126" s="14">
        <v>45754</v>
      </c>
      <c r="B126" s="15">
        <v>126</v>
      </c>
      <c r="C126" t="s" s="16">
        <v>163</v>
      </c>
      <c r="D126" s="17"/>
      <c r="E126" s="17"/>
      <c r="F126" t="str" s="18" cm="1">
        <f t="array" ref="F126">_xlfn.TEXTJOIN(" ",1,C126,D126,E126)</f>
        <v>KISHOR AATRAM</v>
      </c>
      <c r="G126" t="s" s="19">
        <v>9</v>
      </c>
      <c r="H126" s="20">
        <v>1500</v>
      </c>
      <c r="I126" s="20">
        <v>4.4</v>
      </c>
      <c r="J126" s="20">
        <v>1500</v>
      </c>
      <c r="K126" t="s" s="19">
        <v>104</v>
      </c>
      <c r="L126" t="s" s="19">
        <v>42</v>
      </c>
      <c r="M126" t="str" s="18" cm="1">
        <f t="array" ref="M126">IF(F126="CASH SALE",K126,F126)</f>
        <v>KISHOR AATRAM</v>
      </c>
    </row>
    <row r="127" ht="22.8" customHeight="1">
      <c r="A127" s="14">
        <v>45754</v>
      </c>
      <c r="B127" s="15">
        <v>127</v>
      </c>
      <c r="C127" t="s" s="16">
        <v>23</v>
      </c>
      <c r="D127" s="17"/>
      <c r="E127" s="17"/>
      <c r="F127" t="str" s="18" cm="1">
        <f t="array" ref="F127">_xlfn.TEXTJOIN(" ",1,C127,D127,E127)</f>
        <v>CANCAL D M</v>
      </c>
      <c r="G127" t="s" s="19">
        <v>25</v>
      </c>
      <c r="H127" s="20">
        <v>1</v>
      </c>
      <c r="I127" s="20">
        <v>1</v>
      </c>
      <c r="J127" s="20">
        <v>1</v>
      </c>
      <c r="K127" s="18"/>
      <c r="L127" s="18"/>
      <c r="M127" t="str" s="18" cm="1">
        <f t="array" ref="M127">IF(F127="CASH SALE",K127,F127)</f>
        <v>CANCAL D M</v>
      </c>
    </row>
    <row r="128" ht="22.8" customHeight="1">
      <c r="A128" s="14">
        <v>45754</v>
      </c>
      <c r="B128" s="15">
        <v>128</v>
      </c>
      <c r="C128" t="s" s="16">
        <v>7</v>
      </c>
      <c r="D128" s="17"/>
      <c r="E128" s="17"/>
      <c r="F128" t="str" s="18" cm="1">
        <f t="array" ref="F128">_xlfn.TEXTJOIN(" ",1,C128,D128,E128)</f>
        <v>CASH SALE</v>
      </c>
      <c r="G128" t="s" s="19">
        <v>9</v>
      </c>
      <c r="H128" s="20">
        <v>1500</v>
      </c>
      <c r="I128" s="20">
        <v>4.8</v>
      </c>
      <c r="J128" s="20">
        <v>1500</v>
      </c>
      <c r="K128" t="s" s="19">
        <v>219</v>
      </c>
      <c r="L128" t="s" s="19">
        <v>30</v>
      </c>
      <c r="M128" t="str" s="18" cm="1">
        <f t="array" ref="M128">IF(F128="CASH SALE",K128,F128)</f>
        <v>PRADIP SHE</v>
      </c>
    </row>
    <row r="129" ht="22.8" customHeight="1">
      <c r="A129" s="14">
        <v>45754</v>
      </c>
      <c r="B129" s="15">
        <v>129</v>
      </c>
      <c r="C129" t="s" s="16">
        <v>23</v>
      </c>
      <c r="D129" s="17"/>
      <c r="E129" s="17"/>
      <c r="F129" t="str" s="18" cm="1">
        <f t="array" ref="F129">_xlfn.TEXTJOIN(" ",1,C129,D129,E129)</f>
        <v>CANCAL D M</v>
      </c>
      <c r="G129" t="s" s="19">
        <v>25</v>
      </c>
      <c r="H129" s="20">
        <v>1</v>
      </c>
      <c r="I129" s="20">
        <v>1</v>
      </c>
      <c r="J129" s="20">
        <v>1</v>
      </c>
      <c r="K129" s="18"/>
      <c r="L129" s="18"/>
      <c r="M129" t="str" s="18" cm="1">
        <f t="array" ref="M129">IF(F129="CASH SALE",K129,F129)</f>
        <v>CANCAL D M</v>
      </c>
    </row>
    <row r="130" ht="22.8" customHeight="1">
      <c r="A130" s="14">
        <v>45754</v>
      </c>
      <c r="B130" s="15">
        <v>130</v>
      </c>
      <c r="C130" t="s" s="16">
        <v>7</v>
      </c>
      <c r="D130" s="17"/>
      <c r="E130" s="17"/>
      <c r="F130" t="str" s="18" cm="1">
        <f t="array" ref="F130">_xlfn.TEXTJOIN(" ",1,C130,D130,E130)</f>
        <v>CASH SALE</v>
      </c>
      <c r="G130" t="s" s="19">
        <v>9</v>
      </c>
      <c r="H130" s="20">
        <v>1500</v>
      </c>
      <c r="I130" s="20">
        <v>4.5</v>
      </c>
      <c r="J130" s="20">
        <v>1500</v>
      </c>
      <c r="K130" t="s" s="19">
        <v>117</v>
      </c>
      <c r="L130" t="s" s="19">
        <v>42</v>
      </c>
      <c r="M130" t="str" s="18" cm="1">
        <f t="array" ref="M130">IF(F130="CASH SALE",K130,F130)</f>
        <v>DEVIDAS RA</v>
      </c>
    </row>
    <row r="131" ht="22.8" customHeight="1">
      <c r="A131" s="14">
        <v>45754</v>
      </c>
      <c r="B131" s="15">
        <v>131</v>
      </c>
      <c r="C131" t="s" s="16">
        <v>7</v>
      </c>
      <c r="D131" s="17"/>
      <c r="E131" s="17"/>
      <c r="F131" t="str" s="18" cm="1">
        <f t="array" ref="F131">_xlfn.TEXTJOIN(" ",1,C131,D131,E131)</f>
        <v>CASH SALE</v>
      </c>
      <c r="G131" t="s" s="19">
        <v>9</v>
      </c>
      <c r="H131" s="20">
        <v>1500</v>
      </c>
      <c r="I131" s="20">
        <v>4.6</v>
      </c>
      <c r="J131" s="20">
        <v>1500</v>
      </c>
      <c r="K131" t="s" s="19">
        <v>221</v>
      </c>
      <c r="L131" t="s" s="19">
        <v>30</v>
      </c>
      <c r="M131" t="str" s="18" cm="1">
        <f t="array" ref="M131">IF(F131="CASH SALE",K131,F131)</f>
        <v>SANDIP[ KH</v>
      </c>
    </row>
    <row r="132" ht="22.8" customHeight="1">
      <c r="A132" s="14">
        <v>45754</v>
      </c>
      <c r="B132" s="15">
        <v>132</v>
      </c>
      <c r="C132" t="s" s="16">
        <v>7</v>
      </c>
      <c r="D132" s="17"/>
      <c r="E132" s="17"/>
      <c r="F132" t="str" s="18" cm="1">
        <f t="array" ref="F132">_xlfn.TEXTJOIN(" ",1,C132,D132,E132)</f>
        <v>CASH SALE</v>
      </c>
      <c r="G132" t="s" s="19">
        <v>9</v>
      </c>
      <c r="H132" s="20">
        <v>1500</v>
      </c>
      <c r="I132" s="20">
        <v>4.5</v>
      </c>
      <c r="J132" s="20">
        <v>1500</v>
      </c>
      <c r="K132" t="s" s="19">
        <v>223</v>
      </c>
      <c r="L132" t="s" s="19">
        <v>30</v>
      </c>
      <c r="M132" t="str" s="18" cm="1">
        <f t="array" ref="M132">IF(F132="CASH SALE",K132,F132)</f>
        <v>SARANG WAG</v>
      </c>
    </row>
    <row r="133" ht="22.8" customHeight="1">
      <c r="A133" s="14">
        <v>45754</v>
      </c>
      <c r="B133" s="15">
        <v>133</v>
      </c>
      <c r="C133" t="s" s="16">
        <v>225</v>
      </c>
      <c r="D133" s="17"/>
      <c r="E133" s="17"/>
      <c r="F133" t="str" s="18" cm="1">
        <f t="array" ref="F133">_xlfn.TEXTJOIN(" ",1,C133,D133,E133)</f>
        <v>SACHIN CHAUDHARI</v>
      </c>
      <c r="G133" t="s" s="19">
        <v>9</v>
      </c>
      <c r="H133" s="20">
        <v>1500</v>
      </c>
      <c r="I133" s="20">
        <v>4.8</v>
      </c>
      <c r="J133" s="20">
        <v>1500</v>
      </c>
      <c r="K133" t="s" s="19">
        <v>227</v>
      </c>
      <c r="L133" t="s" s="19">
        <v>35</v>
      </c>
      <c r="M133" t="str" s="18" cm="1">
        <f t="array" ref="M133">IF(F133="CASH SALE",K133,F133)</f>
        <v>SACHIN CHAUDHARI</v>
      </c>
    </row>
    <row r="134" ht="22.8" customHeight="1">
      <c r="A134" s="14">
        <v>45754</v>
      </c>
      <c r="B134" s="15">
        <v>134</v>
      </c>
      <c r="C134" t="s" s="16">
        <v>7</v>
      </c>
      <c r="D134" s="17"/>
      <c r="E134" s="17"/>
      <c r="F134" t="str" s="18" cm="1">
        <f t="array" ref="F134">_xlfn.TEXTJOIN(" ",1,C134,D134,E134)</f>
        <v>CASH SALE</v>
      </c>
      <c r="G134" t="s" s="19">
        <v>9</v>
      </c>
      <c r="H134" s="20">
        <v>1500</v>
      </c>
      <c r="I134" s="20">
        <v>4.8</v>
      </c>
      <c r="J134" s="20">
        <v>1500</v>
      </c>
      <c r="K134" t="s" s="19">
        <v>228</v>
      </c>
      <c r="L134" t="s" s="19">
        <v>42</v>
      </c>
      <c r="M134" t="str" s="18" cm="1">
        <f t="array" ref="M134">IF(F134="CASH SALE",K134,F134)</f>
        <v>ARUN KUMAR</v>
      </c>
    </row>
    <row r="135" ht="22.8" customHeight="1">
      <c r="A135" s="14">
        <v>45754</v>
      </c>
      <c r="B135" s="15">
        <v>135</v>
      </c>
      <c r="C135" t="s" s="16">
        <v>58</v>
      </c>
      <c r="D135" s="17"/>
      <c r="E135" s="17"/>
      <c r="F135" t="str" s="18" cm="1">
        <f t="array" ref="F135">_xlfn.TEXTJOIN(" ",1,C135,D135,E135)</f>
        <v>MAHESH MALIK</v>
      </c>
      <c r="G135" t="s" s="19">
        <v>9</v>
      </c>
      <c r="H135" s="20">
        <v>1500</v>
      </c>
      <c r="I135" s="20">
        <v>4.6</v>
      </c>
      <c r="J135" s="20">
        <v>1500</v>
      </c>
      <c r="K135" t="s" s="19">
        <v>60</v>
      </c>
      <c r="L135" t="s" s="19">
        <v>30</v>
      </c>
      <c r="M135" t="str" s="18" cm="1">
        <f t="array" ref="M135">IF(F135="CASH SALE",K135,F135)</f>
        <v>MAHESH MALIK</v>
      </c>
    </row>
    <row r="136" ht="22.8" customHeight="1">
      <c r="A136" s="14">
        <v>45754</v>
      </c>
      <c r="B136" s="15">
        <v>136</v>
      </c>
      <c r="C136" t="s" s="16">
        <v>72</v>
      </c>
      <c r="D136" s="17"/>
      <c r="E136" s="17"/>
      <c r="F136" t="str" s="18" cm="1">
        <f t="array" ref="F136">_xlfn.TEXTJOIN(" ",1,C136,D136,E136)</f>
        <v>SANTOSH PUNYAPAWAR</v>
      </c>
      <c r="G136" t="s" s="19">
        <v>9</v>
      </c>
      <c r="H136" s="20">
        <v>1500</v>
      </c>
      <c r="I136" s="20">
        <v>4.4</v>
      </c>
      <c r="J136" s="20">
        <v>1500</v>
      </c>
      <c r="K136" t="s" s="19">
        <v>57</v>
      </c>
      <c r="L136" t="s" s="19">
        <v>35</v>
      </c>
      <c r="M136" t="str" s="18" cm="1">
        <f t="array" ref="M136">IF(F136="CASH SALE",K136,F136)</f>
        <v>SANTOSH PUNYAPAWAR</v>
      </c>
    </row>
    <row r="137" ht="22.8" customHeight="1">
      <c r="A137" s="14">
        <v>45754</v>
      </c>
      <c r="B137" s="15">
        <v>138</v>
      </c>
      <c r="C137" t="s" s="16">
        <v>230</v>
      </c>
      <c r="D137" s="17"/>
      <c r="E137" s="17"/>
      <c r="F137" t="str" s="18" cm="1">
        <f t="array" ref="F137">_xlfn.TEXTJOIN(" ",1,C137,D137,E137)</f>
        <v>ADHIK BRICKS</v>
      </c>
      <c r="G137" t="s" s="19">
        <v>9</v>
      </c>
      <c r="H137" s="20">
        <v>1000</v>
      </c>
      <c r="I137" s="20">
        <v>4.7</v>
      </c>
      <c r="J137" s="20">
        <v>1000</v>
      </c>
      <c r="K137" t="s" s="19">
        <v>232</v>
      </c>
      <c r="L137" t="s" s="19">
        <v>35</v>
      </c>
      <c r="M137" t="str" s="18" cm="1">
        <f t="array" ref="M137">IF(F137="CASH SALE",K137,F137)</f>
        <v>ADHIK BRICKS</v>
      </c>
    </row>
    <row r="138" ht="22.8" customHeight="1">
      <c r="A138" s="14">
        <v>45754</v>
      </c>
      <c r="B138" s="15">
        <v>120</v>
      </c>
      <c r="C138" t="s" s="16">
        <v>233</v>
      </c>
      <c r="D138" s="17"/>
      <c r="E138" s="17"/>
      <c r="F138" t="str" s="18" cm="1">
        <f t="array" ref="F138">_xlfn.TEXTJOIN(" ",1,C138,D138,E138)</f>
        <v>ROHAN RAUT</v>
      </c>
      <c r="G138" t="s" s="19">
        <v>9</v>
      </c>
      <c r="H138" s="20">
        <v>3000</v>
      </c>
      <c r="I138" s="20">
        <v>6</v>
      </c>
      <c r="J138" s="20">
        <v>3000</v>
      </c>
      <c r="K138" t="s" s="19">
        <v>235</v>
      </c>
      <c r="L138" t="s" s="19">
        <v>27</v>
      </c>
      <c r="M138" t="str" s="18" cm="1">
        <f t="array" ref="M138">IF(F138="CASH SALE",K138,F138)</f>
        <v>ROHAN RAUT</v>
      </c>
    </row>
    <row r="139" ht="22.8" customHeight="1">
      <c r="A139" s="14">
        <v>45754</v>
      </c>
      <c r="B139" s="15">
        <v>137</v>
      </c>
      <c r="C139" t="s" s="16">
        <v>236</v>
      </c>
      <c r="D139" s="17"/>
      <c r="E139" s="17"/>
      <c r="F139" t="str" s="18" cm="1">
        <f t="array" ref="F139">_xlfn.TEXTJOIN(" ",1,C139,D139,E139)</f>
        <v>PRADIP BUKKAWAR</v>
      </c>
      <c r="G139" t="s" s="19">
        <v>9</v>
      </c>
      <c r="H139" s="20">
        <v>1500</v>
      </c>
      <c r="I139" s="20">
        <v>4.2</v>
      </c>
      <c r="J139" s="20">
        <v>1500</v>
      </c>
      <c r="K139" t="s" s="19">
        <v>238</v>
      </c>
      <c r="L139" t="s" s="19">
        <v>42</v>
      </c>
      <c r="M139" t="str" s="18" cm="1">
        <f t="array" ref="M139">IF(F139="CASH SALE",K139,F139)</f>
        <v>PRADIP BUKKAWAR</v>
      </c>
    </row>
    <row r="140" ht="22.8" customHeight="1">
      <c r="A140" s="14">
        <v>45755</v>
      </c>
      <c r="B140" s="15">
        <v>139</v>
      </c>
      <c r="C140" t="s" s="16">
        <v>7</v>
      </c>
      <c r="D140" s="17"/>
      <c r="E140" s="17"/>
      <c r="F140" t="str" s="18" cm="1">
        <f t="array" ref="F140">_xlfn.TEXTJOIN(" ",1,C140,D140,E140)</f>
        <v>CASH SALE</v>
      </c>
      <c r="G140" t="s" s="19">
        <v>9</v>
      </c>
      <c r="H140" s="20">
        <v>2500</v>
      </c>
      <c r="I140" s="20">
        <v>6</v>
      </c>
      <c r="J140" s="20">
        <v>2500</v>
      </c>
      <c r="K140" t="s" s="19">
        <v>239</v>
      </c>
      <c r="L140" t="s" s="19">
        <v>11</v>
      </c>
      <c r="M140" t="str" s="18" cm="1">
        <f t="array" ref="M140">IF(F140="CASH SALE",K140,F140)</f>
        <v>RAJENDRA A</v>
      </c>
    </row>
    <row r="141" ht="22.8" customHeight="1">
      <c r="A141" s="14">
        <v>45755</v>
      </c>
      <c r="B141" s="15">
        <v>140</v>
      </c>
      <c r="C141" t="s" s="16">
        <v>7</v>
      </c>
      <c r="D141" s="17"/>
      <c r="E141" s="17"/>
      <c r="F141" t="str" s="18" cm="1">
        <f t="array" ref="F141">_xlfn.TEXTJOIN(" ",1,C141,D141,E141)</f>
        <v>CASH SALE</v>
      </c>
      <c r="G141" t="s" s="19">
        <v>9</v>
      </c>
      <c r="H141" s="20">
        <v>2500</v>
      </c>
      <c r="I141" s="20">
        <v>5.25</v>
      </c>
      <c r="J141" s="20">
        <v>2500</v>
      </c>
      <c r="K141" t="s" s="19">
        <v>241</v>
      </c>
      <c r="L141" t="s" s="19">
        <v>11</v>
      </c>
      <c r="M141" t="str" s="18" cm="1">
        <f t="array" ref="M141">IF(F141="CASH SALE",K141,F141)</f>
        <v>SURESH BUC</v>
      </c>
    </row>
    <row r="142" ht="22.8" customHeight="1">
      <c r="A142" s="14">
        <v>45755</v>
      </c>
      <c r="B142" s="15">
        <v>141</v>
      </c>
      <c r="C142" t="s" s="16">
        <v>7</v>
      </c>
      <c r="D142" s="17"/>
      <c r="E142" s="17"/>
      <c r="F142" t="str" s="18" cm="1">
        <f t="array" ref="F142">_xlfn.TEXTJOIN(" ",1,C142,D142,E142)</f>
        <v>CASH SALE</v>
      </c>
      <c r="G142" t="s" s="19">
        <v>9</v>
      </c>
      <c r="H142" s="20">
        <v>3000</v>
      </c>
      <c r="I142" s="20">
        <v>6</v>
      </c>
      <c r="J142" s="20">
        <v>3000</v>
      </c>
      <c r="K142" t="s" s="19">
        <v>243</v>
      </c>
      <c r="L142" t="s" s="19">
        <v>27</v>
      </c>
      <c r="M142" t="str" s="18" cm="1">
        <f t="array" ref="M142">IF(F142="CASH SALE",K142,F142)</f>
        <v>SANTOSH PA</v>
      </c>
    </row>
    <row r="143" ht="22.8" customHeight="1">
      <c r="A143" s="14">
        <v>45755</v>
      </c>
      <c r="B143" s="15">
        <v>142</v>
      </c>
      <c r="C143" t="s" s="16">
        <v>7</v>
      </c>
      <c r="D143" s="17"/>
      <c r="E143" s="17"/>
      <c r="F143" t="str" s="18" cm="1">
        <f t="array" ref="F143">_xlfn.TEXTJOIN(" ",1,C143,D143,E143)</f>
        <v>CASH SALE</v>
      </c>
      <c r="G143" t="s" s="19">
        <v>9</v>
      </c>
      <c r="H143" s="20">
        <v>3000</v>
      </c>
      <c r="I143" s="20">
        <v>5.25</v>
      </c>
      <c r="J143" s="20">
        <v>3000</v>
      </c>
      <c r="K143" t="s" s="19">
        <v>245</v>
      </c>
      <c r="L143" t="s" s="19">
        <v>27</v>
      </c>
      <c r="M143" t="str" s="18" cm="1">
        <f t="array" ref="M143">IF(F143="CASH SALE",K143,F143)</f>
        <v>ZINGU MOHA</v>
      </c>
    </row>
    <row r="144" ht="22.8" customHeight="1">
      <c r="A144" s="14">
        <v>45755</v>
      </c>
      <c r="B144" s="15">
        <v>143</v>
      </c>
      <c r="C144" t="s" s="16">
        <v>7</v>
      </c>
      <c r="D144" s="17"/>
      <c r="E144" s="17"/>
      <c r="F144" t="str" s="18" cm="1">
        <f t="array" ref="F144">_xlfn.TEXTJOIN(" ",1,C144,D144,E144)</f>
        <v>CASH SALE</v>
      </c>
      <c r="G144" t="s" s="19">
        <v>9</v>
      </c>
      <c r="H144" s="20">
        <v>4000</v>
      </c>
      <c r="I144" s="20">
        <v>5.75</v>
      </c>
      <c r="J144" s="20">
        <v>4000</v>
      </c>
      <c r="K144" t="s" s="19">
        <v>159</v>
      </c>
      <c r="L144" t="s" s="19">
        <v>21</v>
      </c>
      <c r="M144" t="str" s="18" cm="1">
        <f t="array" ref="M144">IF(F144="CASH SALE",K144,F144)</f>
        <v>SANDIP TUR</v>
      </c>
    </row>
    <row r="145" ht="22.8" customHeight="1">
      <c r="A145" s="14">
        <v>45755</v>
      </c>
      <c r="B145" s="15">
        <v>144</v>
      </c>
      <c r="C145" t="s" s="16">
        <v>7</v>
      </c>
      <c r="D145" s="17"/>
      <c r="E145" s="17"/>
      <c r="F145" t="str" s="18" cm="1">
        <f t="array" ref="F145">_xlfn.TEXTJOIN(" ",1,C145,D145,E145)</f>
        <v>CASH SALE</v>
      </c>
      <c r="G145" t="s" s="19">
        <v>9</v>
      </c>
      <c r="H145" s="20">
        <v>4000</v>
      </c>
      <c r="I145" s="20">
        <v>5.25</v>
      </c>
      <c r="J145" s="20">
        <v>4000</v>
      </c>
      <c r="K145" t="s" s="19">
        <v>247</v>
      </c>
      <c r="L145" t="s" s="19">
        <v>21</v>
      </c>
      <c r="M145" t="str" s="18" cm="1">
        <f t="array" ref="M145">IF(F145="CASH SALE",K145,F145)</f>
        <v>DINESH JUN</v>
      </c>
    </row>
    <row r="146" ht="22.8" customHeight="1">
      <c r="A146" s="14">
        <v>45755</v>
      </c>
      <c r="B146" s="15">
        <v>145</v>
      </c>
      <c r="C146" t="s" s="16">
        <v>7</v>
      </c>
      <c r="D146" s="17"/>
      <c r="E146" s="17"/>
      <c r="F146" t="str" s="18" cm="1">
        <f t="array" ref="F146">_xlfn.TEXTJOIN(" ",1,C146,D146,E146)</f>
        <v>CASH SALE</v>
      </c>
      <c r="G146" t="s" s="19">
        <v>9</v>
      </c>
      <c r="H146" s="20">
        <v>4000</v>
      </c>
      <c r="I146" s="20">
        <v>6</v>
      </c>
      <c r="J146" s="20">
        <v>4000</v>
      </c>
      <c r="K146" t="s" s="19">
        <v>249</v>
      </c>
      <c r="L146" t="s" s="19">
        <v>16</v>
      </c>
      <c r="M146" t="str" s="18" cm="1">
        <f t="array" ref="M146">IF(F146="CASH SALE",K146,F146)</f>
        <v>GULAB SATG</v>
      </c>
    </row>
    <row r="147" ht="22.8" customHeight="1">
      <c r="A147" s="14">
        <v>45755</v>
      </c>
      <c r="B147" s="15">
        <v>146</v>
      </c>
      <c r="C147" t="s" s="16">
        <v>7</v>
      </c>
      <c r="D147" s="17"/>
      <c r="E147" s="17"/>
      <c r="F147" t="str" s="18" cm="1">
        <f t="array" ref="F147">_xlfn.TEXTJOIN(" ",1,C147,D147,E147)</f>
        <v>CASH SALE</v>
      </c>
      <c r="G147" t="s" s="19">
        <v>9</v>
      </c>
      <c r="H147" s="20">
        <v>4000</v>
      </c>
      <c r="I147" s="20">
        <v>5.4</v>
      </c>
      <c r="J147" s="20">
        <v>4000</v>
      </c>
      <c r="K147" t="s" s="19">
        <v>128</v>
      </c>
      <c r="L147" t="s" s="19">
        <v>16</v>
      </c>
      <c r="M147" t="str" s="18" cm="1">
        <f t="array" ref="M147">IF(F147="CASH SALE",K147,F147)</f>
        <v>KURAWATKAR</v>
      </c>
    </row>
    <row r="148" ht="22.8" customHeight="1">
      <c r="A148" s="14">
        <v>45755</v>
      </c>
      <c r="B148" s="15">
        <v>147</v>
      </c>
      <c r="C148" t="s" s="16">
        <v>23</v>
      </c>
      <c r="D148" s="17"/>
      <c r="E148" s="17"/>
      <c r="F148" t="str" s="18" cm="1">
        <f t="array" ref="F148">_xlfn.TEXTJOIN(" ",1,C148,D148,E148)</f>
        <v>CANCAL D M</v>
      </c>
      <c r="G148" t="s" s="19">
        <v>25</v>
      </c>
      <c r="H148" s="20">
        <v>1</v>
      </c>
      <c r="I148" s="20">
        <v>1</v>
      </c>
      <c r="J148" s="20">
        <v>1</v>
      </c>
      <c r="K148" s="18"/>
      <c r="L148" s="18"/>
      <c r="M148" t="str" s="18" cm="1">
        <f t="array" ref="M148">IF(F148="CASH SALE",K148,F148)</f>
        <v>CANCAL D M</v>
      </c>
    </row>
    <row r="149" ht="22.8" customHeight="1">
      <c r="A149" s="14">
        <v>45755</v>
      </c>
      <c r="B149" s="15">
        <v>148</v>
      </c>
      <c r="C149" t="s" s="16">
        <v>7</v>
      </c>
      <c r="D149" s="17"/>
      <c r="E149" s="17"/>
      <c r="F149" t="str" s="18" cm="1">
        <f t="array" ref="F149">_xlfn.TEXTJOIN(" ",1,C149,D149,E149)</f>
        <v>CASH SALE</v>
      </c>
      <c r="G149" t="s" s="19">
        <v>9</v>
      </c>
      <c r="H149" s="20">
        <v>1500</v>
      </c>
      <c r="I149" s="20">
        <v>4.6</v>
      </c>
      <c r="J149" s="20">
        <v>1500</v>
      </c>
      <c r="K149" t="s" s="19">
        <v>251</v>
      </c>
      <c r="L149" t="s" s="19">
        <v>30</v>
      </c>
      <c r="M149" t="str" s="18" cm="1">
        <f t="array" ref="M149">IF(F149="CASH SALE",K149,F149)</f>
        <v>REVANDAS R</v>
      </c>
    </row>
    <row r="150" ht="22.8" customHeight="1">
      <c r="A150" s="14">
        <v>45755</v>
      </c>
      <c r="B150" s="15">
        <v>149</v>
      </c>
      <c r="C150" t="s" s="16">
        <v>96</v>
      </c>
      <c r="D150" s="17"/>
      <c r="E150" s="17"/>
      <c r="F150" t="str" s="18" cm="1">
        <f t="array" ref="F150">_xlfn.TEXTJOIN(" ",1,C150,D150,E150)</f>
        <v>MOHAN NAMANWAR</v>
      </c>
      <c r="G150" t="s" s="19">
        <v>9</v>
      </c>
      <c r="H150" s="20">
        <v>1500</v>
      </c>
      <c r="I150" s="20">
        <v>5</v>
      </c>
      <c r="J150" s="20">
        <v>1500</v>
      </c>
      <c r="K150" t="s" s="19">
        <v>253</v>
      </c>
      <c r="L150" t="s" s="19">
        <v>42</v>
      </c>
      <c r="M150" t="str" s="18" cm="1">
        <f t="array" ref="M150">IF(F150="CASH SALE",K150,F150)</f>
        <v>MOHAN NAMANWAR</v>
      </c>
    </row>
    <row r="151" ht="22.8" customHeight="1">
      <c r="A151" s="14">
        <v>45755</v>
      </c>
      <c r="B151" s="15">
        <v>150</v>
      </c>
      <c r="C151" t="s" s="16">
        <v>23</v>
      </c>
      <c r="D151" s="17"/>
      <c r="E151" s="17"/>
      <c r="F151" t="str" s="18" cm="1">
        <f t="array" ref="F151">_xlfn.TEXTJOIN(" ",1,C151,D151,E151)</f>
        <v>CANCAL D M</v>
      </c>
      <c r="G151" t="s" s="19">
        <v>25</v>
      </c>
      <c r="H151" s="20">
        <v>1</v>
      </c>
      <c r="I151" s="20">
        <v>1</v>
      </c>
      <c r="J151" s="20">
        <v>1</v>
      </c>
      <c r="K151" s="18"/>
      <c r="L151" s="18"/>
      <c r="M151" t="str" s="18" cm="1">
        <f t="array" ref="M151">IF(F151="CASH SALE",K151,F151)</f>
        <v>CANCAL D M</v>
      </c>
    </row>
    <row r="152" ht="22.8" customHeight="1">
      <c r="A152" s="14">
        <v>45755</v>
      </c>
      <c r="B152" s="15">
        <v>151</v>
      </c>
      <c r="C152" t="s" s="16">
        <v>136</v>
      </c>
      <c r="D152" s="17"/>
      <c r="E152" s="17"/>
      <c r="F152" t="str" s="18" cm="1">
        <f t="array" ref="F152">_xlfn.TEXTJOIN(" ",1,C152,D152,E152)</f>
        <v>AVINASH UADE</v>
      </c>
      <c r="G152" t="s" s="19">
        <v>9</v>
      </c>
      <c r="H152" s="20">
        <v>1500</v>
      </c>
      <c r="I152" s="20">
        <v>4.5</v>
      </c>
      <c r="J152" s="20">
        <v>1500</v>
      </c>
      <c r="K152" t="s" s="19">
        <v>104</v>
      </c>
      <c r="L152" t="s" s="19">
        <v>35</v>
      </c>
      <c r="M152" t="str" s="18" cm="1">
        <f t="array" ref="M152">IF(F152="CASH SALE",K152,F152)</f>
        <v>AVINASH UADE</v>
      </c>
    </row>
    <row r="153" ht="22.8" customHeight="1">
      <c r="A153" s="14">
        <v>45755</v>
      </c>
      <c r="B153" s="15">
        <v>152</v>
      </c>
      <c r="C153" t="s" s="16">
        <v>7</v>
      </c>
      <c r="D153" s="17"/>
      <c r="E153" s="17"/>
      <c r="F153" t="str" s="18" cm="1">
        <f t="array" ref="F153">_xlfn.TEXTJOIN(" ",1,C153,D153,E153)</f>
        <v>CASH SALE</v>
      </c>
      <c r="G153" t="s" s="19">
        <v>9</v>
      </c>
      <c r="H153" s="20">
        <v>1500</v>
      </c>
      <c r="I153" s="20">
        <v>4.5</v>
      </c>
      <c r="J153" s="20">
        <v>1500</v>
      </c>
      <c r="K153" t="s" s="19">
        <v>254</v>
      </c>
      <c r="L153" t="s" s="19">
        <v>35</v>
      </c>
      <c r="M153" t="str" s="18" cm="1">
        <f t="array" ref="M153">IF(F153="CASH SALE",K153,F153)</f>
        <v>SURESH AAW</v>
      </c>
    </row>
    <row r="154" ht="22.8" customHeight="1">
      <c r="A154" s="14">
        <v>45755</v>
      </c>
      <c r="B154" s="15">
        <v>153</v>
      </c>
      <c r="C154" t="s" s="16">
        <v>256</v>
      </c>
      <c r="D154" s="17"/>
      <c r="E154" s="17"/>
      <c r="F154" t="str" s="18" cm="1">
        <f t="array" ref="F154">_xlfn.TEXTJOIN(" ",1,C154,D154,E154)</f>
        <v>RAGIT BANDHU TRADERS</v>
      </c>
      <c r="G154" t="s" s="19">
        <v>9</v>
      </c>
      <c r="H154" s="20">
        <v>1500</v>
      </c>
      <c r="I154" s="20">
        <v>4.4</v>
      </c>
      <c r="J154" s="20">
        <v>1500</v>
      </c>
      <c r="K154" t="s" s="19">
        <v>112</v>
      </c>
      <c r="L154" t="s" s="19">
        <v>30</v>
      </c>
      <c r="M154" t="str" s="18" cm="1">
        <f t="array" ref="M154">IF(F154="CASH SALE",K154,F154)</f>
        <v>RAGIT BANDHU TRADERS</v>
      </c>
    </row>
    <row r="155" ht="22.8" customHeight="1">
      <c r="A155" s="14">
        <v>45755</v>
      </c>
      <c r="B155" s="15">
        <v>154</v>
      </c>
      <c r="C155" t="s" s="16">
        <v>7</v>
      </c>
      <c r="D155" s="17"/>
      <c r="E155" s="17"/>
      <c r="F155" t="str" s="18" cm="1">
        <f t="array" ref="F155">_xlfn.TEXTJOIN(" ",1,C155,D155,E155)</f>
        <v>CASH SALE</v>
      </c>
      <c r="G155" t="s" s="19">
        <v>9</v>
      </c>
      <c r="H155" s="20">
        <v>1500</v>
      </c>
      <c r="I155" s="20">
        <v>4.5</v>
      </c>
      <c r="J155" s="20">
        <v>1500</v>
      </c>
      <c r="K155" t="s" s="19">
        <v>223</v>
      </c>
      <c r="L155" t="s" s="19">
        <v>42</v>
      </c>
      <c r="M155" t="str" s="18" cm="1">
        <f t="array" ref="M155">IF(F155="CASH SALE",K155,F155)</f>
        <v>SARANG WAG</v>
      </c>
    </row>
    <row r="156" ht="22.8" customHeight="1">
      <c r="A156" s="14">
        <v>45755</v>
      </c>
      <c r="B156" s="15">
        <v>155</v>
      </c>
      <c r="C156" t="s" s="16">
        <v>36</v>
      </c>
      <c r="D156" s="17"/>
      <c r="E156" s="17"/>
      <c r="F156" t="str" s="18" cm="1">
        <f t="array" ref="F156">_xlfn.TEXTJOIN(" ",1,C156,D156,E156)</f>
        <v>ABHAS SINGH</v>
      </c>
      <c r="G156" t="s" s="19">
        <v>9</v>
      </c>
      <c r="H156" s="20">
        <v>1500</v>
      </c>
      <c r="I156" s="20">
        <v>4.5</v>
      </c>
      <c r="J156" s="20">
        <v>1500</v>
      </c>
      <c r="K156" t="s" s="19">
        <v>38</v>
      </c>
      <c r="L156" t="s" s="19">
        <v>35</v>
      </c>
      <c r="M156" t="str" s="18" cm="1">
        <f t="array" ref="M156">IF(F156="CASH SALE",K156,F156)</f>
        <v>ABHAS SINGH</v>
      </c>
    </row>
    <row r="157" ht="22.8" customHeight="1">
      <c r="A157" s="14">
        <v>45755</v>
      </c>
      <c r="B157" s="15">
        <v>156</v>
      </c>
      <c r="C157" t="s" s="16">
        <v>99</v>
      </c>
      <c r="D157" s="17"/>
      <c r="E157" s="17"/>
      <c r="F157" t="str" s="18" cm="1">
        <f t="array" ref="F157">_xlfn.TEXTJOIN(" ",1,C157,D157,E157)</f>
        <v>GAURAO NANDURKAR</v>
      </c>
      <c r="G157" t="s" s="19">
        <v>9</v>
      </c>
      <c r="H157" s="20">
        <v>1500</v>
      </c>
      <c r="I157" s="20">
        <v>4.5</v>
      </c>
      <c r="J157" s="20">
        <v>1500</v>
      </c>
      <c r="K157" t="s" s="19">
        <v>101</v>
      </c>
      <c r="L157" t="s" s="19">
        <v>30</v>
      </c>
      <c r="M157" t="str" s="18" cm="1">
        <f t="array" ref="M157">IF(F157="CASH SALE",K157,F157)</f>
        <v>GAURAO NANDURKAR</v>
      </c>
    </row>
    <row r="158" ht="22.8" customHeight="1">
      <c r="A158" s="14">
        <v>45755</v>
      </c>
      <c r="B158" s="15">
        <v>157</v>
      </c>
      <c r="C158" t="s" s="21">
        <v>258</v>
      </c>
      <c r="D158" t="s" s="16">
        <v>259</v>
      </c>
      <c r="E158" s="17"/>
      <c r="F158" t="str" s="18" cm="1">
        <f t="array" ref="F158">_xlfn.TEXTJOIN(" ",1,C158,D158,E158)</f>
        <v>RAJU YADAO</v>
      </c>
      <c r="G158" t="s" s="19">
        <v>9</v>
      </c>
      <c r="H158" s="20">
        <v>1500</v>
      </c>
      <c r="I158" s="20">
        <v>4.6</v>
      </c>
      <c r="J158" s="20">
        <v>1500</v>
      </c>
      <c r="K158" t="s" s="19">
        <v>260</v>
      </c>
      <c r="L158" t="s" s="19">
        <v>42</v>
      </c>
      <c r="M158" t="str" s="18" cm="1">
        <f t="array" ref="M158">IF(F158="CASH SALE",K158,F158)</f>
        <v>RAJU YADAO</v>
      </c>
    </row>
    <row r="159" ht="22.8" customHeight="1">
      <c r="A159" s="14">
        <v>45755</v>
      </c>
      <c r="B159" s="15">
        <v>158</v>
      </c>
      <c r="C159" t="s" s="21">
        <v>74</v>
      </c>
      <c r="D159" t="s" s="16">
        <v>75</v>
      </c>
      <c r="E159" s="17"/>
      <c r="F159" t="str" s="18" cm="1">
        <f t="array" ref="F159">_xlfn.TEXTJOIN(" ",1,C159,D159,E159)</f>
        <v>CASH SALE</v>
      </c>
      <c r="G159" t="s" s="19">
        <v>9</v>
      </c>
      <c r="H159" s="20">
        <v>1500</v>
      </c>
      <c r="I159" s="20">
        <v>4.6</v>
      </c>
      <c r="J159" s="20">
        <v>1500</v>
      </c>
      <c r="K159" t="s" s="19">
        <v>145</v>
      </c>
      <c r="L159" t="s" s="19">
        <v>30</v>
      </c>
      <c r="M159" t="str" s="18" cm="1">
        <f t="array" ref="M159">IF(F159="CASH SALE",K159,F159)</f>
        <v>SANDIP KHU</v>
      </c>
    </row>
    <row r="160" ht="22.8" customHeight="1">
      <c r="A160" s="14">
        <v>45755</v>
      </c>
      <c r="B160" s="15">
        <v>159</v>
      </c>
      <c r="C160" t="s" s="16">
        <v>261</v>
      </c>
      <c r="D160" s="17"/>
      <c r="E160" s="17"/>
      <c r="F160" t="str" s="18" cm="1">
        <f t="array" ref="F160">_xlfn.TEXTJOIN(" ",1,C160,D160,E160)</f>
        <v>MAGIC SPLASH &amp; RESOR</v>
      </c>
      <c r="G160" t="s" s="19">
        <v>9</v>
      </c>
      <c r="H160" s="20">
        <v>1500</v>
      </c>
      <c r="I160" s="20">
        <v>4.7</v>
      </c>
      <c r="J160" s="20">
        <v>1500</v>
      </c>
      <c r="K160" t="s" s="19">
        <v>150</v>
      </c>
      <c r="L160" t="s" s="19">
        <v>42</v>
      </c>
      <c r="M160" t="str" s="18" cm="1">
        <f t="array" ref="M160">IF(F160="CASH SALE",K160,F160)</f>
        <v>MAGIC SPLASH &amp; RESOR</v>
      </c>
    </row>
    <row r="161" ht="22.8" customHeight="1">
      <c r="A161" s="14">
        <v>45756</v>
      </c>
      <c r="B161" s="15">
        <v>160</v>
      </c>
      <c r="C161" t="s" s="21">
        <v>74</v>
      </c>
      <c r="D161" t="s" s="16">
        <v>75</v>
      </c>
      <c r="E161" s="17"/>
      <c r="F161" t="str" s="18" cm="1">
        <f t="array" ref="F161">_xlfn.TEXTJOIN(" ",1,C161,D161,E161)</f>
        <v>CASH SALE</v>
      </c>
      <c r="G161" t="s" s="19">
        <v>9</v>
      </c>
      <c r="H161" s="20">
        <v>2500</v>
      </c>
      <c r="I161" s="20">
        <v>6.25</v>
      </c>
      <c r="J161" s="20">
        <v>2500</v>
      </c>
      <c r="K161" t="s" s="19">
        <v>263</v>
      </c>
      <c r="L161" t="s" s="19">
        <v>11</v>
      </c>
      <c r="M161" t="str" s="18" cm="1">
        <f t="array" ref="M161">IF(F161="CASH SALE",K161,F161)</f>
        <v>SUNIL SOYA</v>
      </c>
    </row>
    <row r="162" ht="22.8" customHeight="1">
      <c r="A162" s="14">
        <v>45756</v>
      </c>
      <c r="B162" s="15">
        <v>161</v>
      </c>
      <c r="C162" t="s" s="21">
        <v>74</v>
      </c>
      <c r="D162" t="s" s="16">
        <v>75</v>
      </c>
      <c r="E162" s="17"/>
      <c r="F162" t="str" s="18" cm="1">
        <f t="array" ref="F162">_xlfn.TEXTJOIN(" ",1,C162,D162,E162)</f>
        <v>CASH SALE</v>
      </c>
      <c r="G162" t="s" s="19">
        <v>9</v>
      </c>
      <c r="H162" s="20">
        <v>4000</v>
      </c>
      <c r="I162" s="20">
        <v>6</v>
      </c>
      <c r="J162" s="20">
        <v>4000</v>
      </c>
      <c r="K162" t="s" s="19">
        <v>265</v>
      </c>
      <c r="L162" t="s" s="19">
        <v>21</v>
      </c>
      <c r="M162" t="str" s="18" cm="1">
        <f t="array" ref="M162">IF(F162="CASH SALE",K162,F162)</f>
        <v>PRADIP BHO</v>
      </c>
    </row>
    <row r="163" ht="22.8" customHeight="1">
      <c r="A163" s="14">
        <v>45756</v>
      </c>
      <c r="B163" s="15">
        <v>163</v>
      </c>
      <c r="C163" t="s" s="21">
        <v>74</v>
      </c>
      <c r="D163" t="s" s="16">
        <v>75</v>
      </c>
      <c r="E163" s="17"/>
      <c r="F163" t="str" s="18" cm="1">
        <f t="array" ref="F163">_xlfn.TEXTJOIN(" ",1,C163,D163,E163)</f>
        <v>CASH SALE</v>
      </c>
      <c r="G163" t="s" s="19">
        <v>9</v>
      </c>
      <c r="H163" s="20">
        <v>4000</v>
      </c>
      <c r="I163" s="20">
        <v>6</v>
      </c>
      <c r="J163" s="20">
        <v>4000</v>
      </c>
      <c r="K163" t="s" s="19">
        <v>267</v>
      </c>
      <c r="L163" t="s" s="19">
        <v>16</v>
      </c>
      <c r="M163" t="str" s="18" cm="1">
        <f t="array" ref="M163">IF(F163="CASH SALE",K163,F163)</f>
        <v>MANOJ MYAK</v>
      </c>
    </row>
    <row r="164" ht="22.8" customHeight="1">
      <c r="A164" s="14">
        <v>45756</v>
      </c>
      <c r="B164" s="15">
        <v>164</v>
      </c>
      <c r="C164" t="s" s="21">
        <v>74</v>
      </c>
      <c r="D164" t="s" s="16">
        <v>75</v>
      </c>
      <c r="E164" s="17"/>
      <c r="F164" t="str" s="18" cm="1">
        <f t="array" ref="F164">_xlfn.TEXTJOIN(" ",1,C164,D164,E164)</f>
        <v>CASH SALE</v>
      </c>
      <c r="G164" t="s" s="19">
        <v>9</v>
      </c>
      <c r="H164" s="20">
        <v>1000</v>
      </c>
      <c r="I164" s="20">
        <v>5</v>
      </c>
      <c r="J164" s="20">
        <v>1000</v>
      </c>
      <c r="K164" t="s" s="19">
        <v>70</v>
      </c>
      <c r="L164" t="s" s="19">
        <v>30</v>
      </c>
      <c r="M164" t="str" s="18" cm="1">
        <f t="array" ref="M164">IF(F164="CASH SALE",K164,F164)</f>
        <v>VAIBHAV FA</v>
      </c>
    </row>
    <row r="165" ht="22.8" customHeight="1">
      <c r="A165" s="14">
        <v>45756</v>
      </c>
      <c r="B165" s="15">
        <v>165</v>
      </c>
      <c r="C165" t="s" s="21">
        <v>74</v>
      </c>
      <c r="D165" t="s" s="16">
        <v>75</v>
      </c>
      <c r="E165" s="17"/>
      <c r="F165" t="str" s="18" cm="1">
        <f t="array" ref="F165">_xlfn.TEXTJOIN(" ",1,C165,D165,E165)</f>
        <v>CASH SALE</v>
      </c>
      <c r="G165" t="s" s="19">
        <v>9</v>
      </c>
      <c r="H165" s="20">
        <v>1500</v>
      </c>
      <c r="I165" s="20">
        <v>4.6</v>
      </c>
      <c r="J165" s="20">
        <v>1500</v>
      </c>
      <c r="K165" t="s" s="19">
        <v>254</v>
      </c>
      <c r="L165" t="s" s="19">
        <v>30</v>
      </c>
      <c r="M165" t="str" s="18" cm="1">
        <f t="array" ref="M165">IF(F165="CASH SALE",K165,F165)</f>
        <v>SURESH AAW</v>
      </c>
    </row>
    <row r="166" ht="22.8" customHeight="1">
      <c r="A166" s="14">
        <v>45756</v>
      </c>
      <c r="B166" s="15">
        <v>166</v>
      </c>
      <c r="C166" t="s" s="21">
        <v>74</v>
      </c>
      <c r="D166" t="s" s="16">
        <v>75</v>
      </c>
      <c r="E166" s="17"/>
      <c r="F166" t="str" s="18" cm="1">
        <f t="array" ref="F166">_xlfn.TEXTJOIN(" ",1,C166,D166,E166)</f>
        <v>CASH SALE</v>
      </c>
      <c r="G166" t="s" s="19">
        <v>9</v>
      </c>
      <c r="H166" s="20">
        <v>1500</v>
      </c>
      <c r="I166" s="20">
        <v>4.6</v>
      </c>
      <c r="J166" s="20">
        <v>1500</v>
      </c>
      <c r="K166" t="s" s="19">
        <v>269</v>
      </c>
      <c r="L166" t="s" s="19">
        <v>42</v>
      </c>
      <c r="M166" t="str" s="18" cm="1">
        <f t="array" ref="M166">IF(F166="CASH SALE",K166,F166)</f>
        <v>RAHUL GURA</v>
      </c>
    </row>
    <row r="167" ht="22.8" customHeight="1">
      <c r="A167" s="14">
        <v>45756</v>
      </c>
      <c r="B167" s="15">
        <v>167</v>
      </c>
      <c r="C167" t="s" s="21">
        <v>74</v>
      </c>
      <c r="D167" t="s" s="16">
        <v>75</v>
      </c>
      <c r="E167" s="17"/>
      <c r="F167" t="str" s="18" cm="1">
        <f t="array" ref="F167">_xlfn.TEXTJOIN(" ",1,C167,D167,E167)</f>
        <v>CASH SALE</v>
      </c>
      <c r="G167" t="s" s="19">
        <v>9</v>
      </c>
      <c r="H167" s="20">
        <v>1500</v>
      </c>
      <c r="I167" s="20">
        <v>4.8</v>
      </c>
      <c r="J167" s="20">
        <v>1500</v>
      </c>
      <c r="K167" t="s" s="19">
        <v>228</v>
      </c>
      <c r="L167" t="s" s="19">
        <v>42</v>
      </c>
      <c r="M167" t="str" s="18" cm="1">
        <f t="array" ref="M167">IF(F167="CASH SALE",K167,F167)</f>
        <v>ARUN KUMAR</v>
      </c>
    </row>
    <row r="168" ht="22.8" customHeight="1">
      <c r="A168" s="14">
        <v>45756</v>
      </c>
      <c r="B168" s="15">
        <v>168</v>
      </c>
      <c r="C168" t="s" s="21">
        <v>74</v>
      </c>
      <c r="D168" t="s" s="16">
        <v>75</v>
      </c>
      <c r="E168" s="17"/>
      <c r="F168" t="str" s="18" cm="1">
        <f t="array" ref="F168">_xlfn.TEXTJOIN(" ",1,C168,D168,E168)</f>
        <v>CASH SALE</v>
      </c>
      <c r="G168" t="s" s="19">
        <v>9</v>
      </c>
      <c r="H168" s="20">
        <v>1500</v>
      </c>
      <c r="I168" s="20">
        <v>4.8</v>
      </c>
      <c r="J168" s="20">
        <v>1500</v>
      </c>
      <c r="K168" t="s" s="19">
        <v>108</v>
      </c>
      <c r="L168" t="s" s="19">
        <v>35</v>
      </c>
      <c r="M168" t="str" s="18" cm="1">
        <f t="array" ref="M168">IF(F168="CASH SALE",K168,F168)</f>
        <v>ACHAL GEDA</v>
      </c>
    </row>
    <row r="169" ht="23.15" customHeight="1">
      <c r="A169" s="22">
        <v>45756</v>
      </c>
      <c r="B169" s="23">
        <v>169</v>
      </c>
      <c r="C169" t="s" s="24">
        <v>271</v>
      </c>
      <c r="D169" s="25"/>
      <c r="E169" s="25"/>
      <c r="F169" t="str" s="26" cm="1">
        <f t="array" ref="F169">_xlfn.TEXTJOIN(" ",1,C169,D169,E169)</f>
        <v>VILAS GOURKAR</v>
      </c>
      <c r="G169" t="s" s="27">
        <v>9</v>
      </c>
      <c r="H169" s="28">
        <v>1500</v>
      </c>
      <c r="I169" s="28">
        <v>4.5</v>
      </c>
      <c r="J169" s="28">
        <v>1500</v>
      </c>
      <c r="K169" t="s" s="27">
        <v>273</v>
      </c>
      <c r="L169" t="s" s="27">
        <v>35</v>
      </c>
      <c r="M169" t="str" s="26" cm="1">
        <f t="array" ref="M169">IF(F169="CASH SALE",K169,F169)</f>
        <v>VILAS GOURKAR</v>
      </c>
    </row>
    <row r="170" ht="23.15" customHeight="1">
      <c r="A170" s="7">
        <v>45756</v>
      </c>
      <c r="B170" s="8">
        <v>162</v>
      </c>
      <c r="C170" t="s" s="9">
        <v>274</v>
      </c>
      <c r="D170" s="10"/>
      <c r="E170" s="10"/>
      <c r="F170" t="str" s="11" cm="1">
        <f t="array" ref="F170">_xlfn.TEXTJOIN(" ",1,C170,D170,E170)</f>
        <v>VILAS SONWANE</v>
      </c>
      <c r="G170" t="s" s="12">
        <v>9</v>
      </c>
      <c r="H170" s="13">
        <v>3000</v>
      </c>
      <c r="I170" s="13">
        <v>6.2</v>
      </c>
      <c r="J170" s="13">
        <v>3000</v>
      </c>
      <c r="K170" t="s" s="12">
        <v>276</v>
      </c>
      <c r="L170" t="s" s="12">
        <v>27</v>
      </c>
      <c r="M170" t="str" s="11" cm="1">
        <f t="array" ref="M170">IF(F170="CASH SALE",K170,F170)</f>
        <v>VILAS SONWANE</v>
      </c>
    </row>
    <row r="171" ht="22.8" customHeight="1">
      <c r="A171" s="14">
        <v>45757</v>
      </c>
      <c r="B171" s="15">
        <v>170</v>
      </c>
      <c r="C171" t="s" s="16">
        <v>7</v>
      </c>
      <c r="D171" s="17"/>
      <c r="E171" s="17"/>
      <c r="F171" t="str" s="18" cm="1">
        <f t="array" ref="F171">_xlfn.TEXTJOIN(" ",1,C171,D171,E171)</f>
        <v>CASH SALE</v>
      </c>
      <c r="G171" t="s" s="19">
        <v>9</v>
      </c>
      <c r="H171" s="20">
        <v>4000</v>
      </c>
      <c r="I171" s="20">
        <v>5.75</v>
      </c>
      <c r="J171" s="20">
        <v>4000</v>
      </c>
      <c r="K171" t="s" s="19">
        <v>277</v>
      </c>
      <c r="L171" t="s" s="19">
        <v>21</v>
      </c>
      <c r="M171" t="str" s="18" cm="1">
        <f t="array" ref="M171">IF(F171="CASH SALE",K171,F171)</f>
        <v>PRAFUL CHA</v>
      </c>
    </row>
    <row r="172" ht="22.8" customHeight="1">
      <c r="A172" s="14">
        <v>45757</v>
      </c>
      <c r="B172" s="15">
        <v>171</v>
      </c>
      <c r="C172" t="s" s="16">
        <v>7</v>
      </c>
      <c r="D172" s="17"/>
      <c r="E172" s="17"/>
      <c r="F172" t="str" s="18" cm="1">
        <f t="array" ref="F172">_xlfn.TEXTJOIN(" ",1,C172,D172,E172)</f>
        <v>CASH SALE</v>
      </c>
      <c r="G172" t="s" s="19">
        <v>9</v>
      </c>
      <c r="H172" s="20">
        <v>4000</v>
      </c>
      <c r="I172" s="20">
        <v>5.25</v>
      </c>
      <c r="J172" s="20">
        <v>4000</v>
      </c>
      <c r="K172" t="s" s="19">
        <v>279</v>
      </c>
      <c r="L172" t="s" s="19">
        <v>21</v>
      </c>
      <c r="M172" t="str" s="18" cm="1">
        <f t="array" ref="M172">IF(F172="CASH SALE",K172,F172)</f>
        <v>PRADIP BOD</v>
      </c>
    </row>
    <row r="173" ht="22.8" customHeight="1">
      <c r="A173" s="14">
        <v>45757</v>
      </c>
      <c r="B173" s="15">
        <v>172</v>
      </c>
      <c r="C173" t="s" s="16">
        <v>7</v>
      </c>
      <c r="D173" s="17"/>
      <c r="E173" s="17"/>
      <c r="F173" t="str" s="18" cm="1">
        <f t="array" ref="F173">_xlfn.TEXTJOIN(" ",1,C173,D173,E173)</f>
        <v>CASH SALE</v>
      </c>
      <c r="G173" t="s" s="19">
        <v>9</v>
      </c>
      <c r="H173" s="20">
        <v>2500</v>
      </c>
      <c r="I173" s="20">
        <v>5.5</v>
      </c>
      <c r="J173" s="20">
        <v>2500</v>
      </c>
      <c r="K173" t="s" s="19">
        <v>281</v>
      </c>
      <c r="L173" t="s" s="19">
        <v>11</v>
      </c>
      <c r="M173" t="str" s="18" cm="1">
        <f t="array" ref="M173">IF(F173="CASH SALE",K173,F173)</f>
        <v>BHUMAREDDY</v>
      </c>
    </row>
    <row r="174" ht="22.8" customHeight="1">
      <c r="A174" s="14">
        <v>45757</v>
      </c>
      <c r="B174" s="15">
        <v>173</v>
      </c>
      <c r="C174" t="s" s="16">
        <v>7</v>
      </c>
      <c r="D174" s="17"/>
      <c r="E174" s="17"/>
      <c r="F174" t="str" s="18" cm="1">
        <f t="array" ref="F174">_xlfn.TEXTJOIN(" ",1,C174,D174,E174)</f>
        <v>CASH SALE</v>
      </c>
      <c r="G174" t="s" s="19">
        <v>9</v>
      </c>
      <c r="H174" s="20">
        <v>2500</v>
      </c>
      <c r="I174" s="20">
        <v>5.5</v>
      </c>
      <c r="J174" s="20">
        <v>2500</v>
      </c>
      <c r="K174" t="s" s="19">
        <v>283</v>
      </c>
      <c r="L174" t="s" s="19">
        <v>11</v>
      </c>
      <c r="M174" t="str" s="18" cm="1">
        <f t="array" ref="M174">IF(F174="CASH SALE",K174,F174)</f>
        <v>PRAVIN AAW</v>
      </c>
    </row>
    <row r="175" ht="22.8" customHeight="1">
      <c r="A175" s="14">
        <v>45757</v>
      </c>
      <c r="B175" s="15">
        <v>174</v>
      </c>
      <c r="C175" t="s" s="16">
        <v>7</v>
      </c>
      <c r="D175" s="17"/>
      <c r="E175" s="17"/>
      <c r="F175" t="str" s="18" cm="1">
        <f t="array" ref="F175">_xlfn.TEXTJOIN(" ",1,C175,D175,E175)</f>
        <v>CASH SALE</v>
      </c>
      <c r="G175" t="s" s="19">
        <v>9</v>
      </c>
      <c r="H175" s="20">
        <v>3000</v>
      </c>
      <c r="I175" s="20">
        <v>6</v>
      </c>
      <c r="J175" s="20">
        <v>3000</v>
      </c>
      <c r="K175" t="s" s="19">
        <v>26</v>
      </c>
      <c r="L175" t="s" s="19">
        <v>27</v>
      </c>
      <c r="M175" t="str" s="18" cm="1">
        <f t="array" ref="M175">IF(F175="CASH SALE",K175,F175)</f>
        <v>SUNIL RAUT</v>
      </c>
    </row>
    <row r="176" ht="22.8" customHeight="1">
      <c r="A176" s="14">
        <v>45757</v>
      </c>
      <c r="B176" s="15">
        <v>175</v>
      </c>
      <c r="C176" t="s" s="16">
        <v>7</v>
      </c>
      <c r="D176" s="17"/>
      <c r="E176" s="17"/>
      <c r="F176" t="str" s="18" cm="1">
        <f t="array" ref="F176">_xlfn.TEXTJOIN(" ",1,C176,D176,E176)</f>
        <v>CASH SALE</v>
      </c>
      <c r="G176" t="s" s="19">
        <v>9</v>
      </c>
      <c r="H176" s="20">
        <v>3000</v>
      </c>
      <c r="I176" s="20">
        <v>6</v>
      </c>
      <c r="J176" s="20">
        <v>3000</v>
      </c>
      <c r="K176" t="s" s="19">
        <v>285</v>
      </c>
      <c r="L176" t="s" s="19">
        <v>27</v>
      </c>
      <c r="M176" t="str" s="18" cm="1">
        <f t="array" ref="M176">IF(F176="CASH SALE",K176,F176)</f>
        <v>SAJAN VELA</v>
      </c>
    </row>
    <row r="177" ht="22.8" customHeight="1">
      <c r="A177" s="14">
        <v>45757</v>
      </c>
      <c r="B177" s="15">
        <v>176</v>
      </c>
      <c r="C177" t="s" s="16">
        <v>7</v>
      </c>
      <c r="D177" s="17"/>
      <c r="E177" s="17"/>
      <c r="F177" t="str" s="18" cm="1">
        <f t="array" ref="F177">_xlfn.TEXTJOIN(" ",1,C177,D177,E177)</f>
        <v>CASH SALE</v>
      </c>
      <c r="G177" t="s" s="19">
        <v>9</v>
      </c>
      <c r="H177" s="20">
        <v>1500</v>
      </c>
      <c r="I177" s="20">
        <v>4.6</v>
      </c>
      <c r="J177" s="20">
        <v>1500</v>
      </c>
      <c r="K177" t="s" s="19">
        <v>251</v>
      </c>
      <c r="L177" t="s" s="19">
        <v>42</v>
      </c>
      <c r="M177" t="str" s="18" cm="1">
        <f t="array" ref="M177">IF(F177="CASH SALE",K177,F177)</f>
        <v>REVANDAS R</v>
      </c>
    </row>
    <row r="178" ht="22.8" customHeight="1">
      <c r="A178" s="14">
        <v>45757</v>
      </c>
      <c r="B178" s="15">
        <v>177</v>
      </c>
      <c r="C178" t="s" s="16">
        <v>39</v>
      </c>
      <c r="D178" s="17"/>
      <c r="E178" s="17"/>
      <c r="F178" t="str" s="18" cm="1">
        <f t="array" ref="F178">_xlfn.TEXTJOIN(" ",1,C178,D178,E178)</f>
        <v>MANISH TAPASE</v>
      </c>
      <c r="G178" t="s" s="19">
        <v>9</v>
      </c>
      <c r="H178" s="20">
        <v>1500</v>
      </c>
      <c r="I178" s="20">
        <v>4.27</v>
      </c>
      <c r="J178" s="20">
        <v>1500</v>
      </c>
      <c r="K178" t="s" s="19">
        <v>38</v>
      </c>
      <c r="L178" t="s" s="19">
        <v>42</v>
      </c>
      <c r="M178" t="str" s="18" cm="1">
        <f t="array" ref="M178">IF(F178="CASH SALE",K178,F178)</f>
        <v>MANISH TAPASE</v>
      </c>
    </row>
    <row r="179" ht="22.8" customHeight="1">
      <c r="A179" s="14">
        <v>45757</v>
      </c>
      <c r="B179" s="15">
        <v>178</v>
      </c>
      <c r="C179" t="s" s="16">
        <v>96</v>
      </c>
      <c r="D179" s="17"/>
      <c r="E179" s="17"/>
      <c r="F179" t="str" s="18" cm="1">
        <f t="array" ref="F179">_xlfn.TEXTJOIN(" ",1,C179,D179,E179)</f>
        <v>MOHAN NAMANWAR</v>
      </c>
      <c r="G179" t="s" s="19">
        <v>9</v>
      </c>
      <c r="H179" s="20">
        <v>1500</v>
      </c>
      <c r="I179" s="20">
        <v>5</v>
      </c>
      <c r="J179" s="20">
        <v>1500</v>
      </c>
      <c r="K179" t="s" s="19">
        <v>253</v>
      </c>
      <c r="L179" t="s" s="19">
        <v>30</v>
      </c>
      <c r="M179" t="str" s="18" cm="1">
        <f t="array" ref="M179">IF(F179="CASH SALE",K179,F179)</f>
        <v>MOHAN NAMANWAR</v>
      </c>
    </row>
    <row r="180" ht="22.8" customHeight="1">
      <c r="A180" s="14">
        <v>45757</v>
      </c>
      <c r="B180" s="15">
        <v>179</v>
      </c>
      <c r="C180" t="s" s="16">
        <v>7</v>
      </c>
      <c r="D180" s="17"/>
      <c r="E180" s="17"/>
      <c r="F180" t="str" s="18" cm="1">
        <f t="array" ref="F180">_xlfn.TEXTJOIN(" ",1,C180,D180,E180)</f>
        <v>CASH SALE</v>
      </c>
      <c r="G180" t="s" s="19">
        <v>9</v>
      </c>
      <c r="H180" s="20">
        <v>1500</v>
      </c>
      <c r="I180" s="20">
        <v>4.6</v>
      </c>
      <c r="J180" s="20">
        <v>1500</v>
      </c>
      <c r="K180" t="s" s="19">
        <v>254</v>
      </c>
      <c r="L180" t="s" s="19">
        <v>30</v>
      </c>
      <c r="M180" t="str" s="18" cm="1">
        <f t="array" ref="M180">IF(F180="CASH SALE",K180,F180)</f>
        <v>SURESH AAW</v>
      </c>
    </row>
    <row r="181" ht="22.8" customHeight="1">
      <c r="A181" s="14">
        <v>45757</v>
      </c>
      <c r="B181" s="15">
        <v>180</v>
      </c>
      <c r="C181" t="s" s="16">
        <v>7</v>
      </c>
      <c r="D181" s="17"/>
      <c r="E181" s="17"/>
      <c r="F181" t="str" s="18" cm="1">
        <f t="array" ref="F181">_xlfn.TEXTJOIN(" ",1,C181,D181,E181)</f>
        <v>CASH SALE</v>
      </c>
      <c r="G181" t="s" s="19">
        <v>9</v>
      </c>
      <c r="H181" s="20">
        <v>1500</v>
      </c>
      <c r="I181" s="20">
        <v>4.8</v>
      </c>
      <c r="J181" s="20">
        <v>1500</v>
      </c>
      <c r="K181" t="s" s="19">
        <v>287</v>
      </c>
      <c r="L181" t="s" s="19">
        <v>35</v>
      </c>
      <c r="M181" t="str" s="18" cm="1">
        <f t="array" ref="M181">IF(F181="CASH SALE",K181,F181)</f>
        <v>ARUN KARAM</v>
      </c>
    </row>
    <row r="182" ht="22.8" customHeight="1">
      <c r="A182" s="14">
        <v>45757</v>
      </c>
      <c r="B182" s="15">
        <v>181</v>
      </c>
      <c r="C182" t="s" s="16">
        <v>289</v>
      </c>
      <c r="D182" s="17"/>
      <c r="E182" s="17"/>
      <c r="F182" t="str" s="18" cm="1">
        <f t="array" ref="F182">_xlfn.TEXTJOIN(" ",1,C182,D182,E182)</f>
        <v>WADKAR SAHEB</v>
      </c>
      <c r="G182" t="s" s="19">
        <v>9</v>
      </c>
      <c r="H182" s="20">
        <v>1500</v>
      </c>
      <c r="I182" s="20">
        <v>4.7</v>
      </c>
      <c r="J182" s="20">
        <v>1500</v>
      </c>
      <c r="K182" t="s" s="19">
        <v>173</v>
      </c>
      <c r="L182" t="s" s="19">
        <v>35</v>
      </c>
      <c r="M182" t="str" s="18" cm="1">
        <f t="array" ref="M182">IF(F182="CASH SALE",K182,F182)</f>
        <v>WADKAR SAHEB</v>
      </c>
    </row>
    <row r="183" ht="22.8" customHeight="1">
      <c r="A183" s="14">
        <v>45757</v>
      </c>
      <c r="B183" s="15">
        <v>182</v>
      </c>
      <c r="C183" t="s" s="16">
        <v>256</v>
      </c>
      <c r="D183" s="17"/>
      <c r="E183" s="17"/>
      <c r="F183" t="str" s="18" cm="1">
        <f t="array" ref="F183">_xlfn.TEXTJOIN(" ",1,C183,D183,E183)</f>
        <v>RAGIT BANDHU TRADERS</v>
      </c>
      <c r="G183" t="s" s="19">
        <v>9</v>
      </c>
      <c r="H183" s="20">
        <v>1500</v>
      </c>
      <c r="I183" s="20">
        <v>4.4</v>
      </c>
      <c r="J183" s="20">
        <v>1500</v>
      </c>
      <c r="K183" t="s" s="19">
        <v>150</v>
      </c>
      <c r="L183" t="s" s="19">
        <v>30</v>
      </c>
      <c r="M183" t="str" s="18" cm="1">
        <f t="array" ref="M183">IF(F183="CASH SALE",K183,F183)</f>
        <v>RAGIT BANDHU TRADERS</v>
      </c>
    </row>
    <row r="184" ht="22.8" customHeight="1">
      <c r="A184" s="14">
        <v>45757</v>
      </c>
      <c r="B184" s="15">
        <v>183</v>
      </c>
      <c r="C184" t="s" s="16">
        <v>7</v>
      </c>
      <c r="D184" s="17"/>
      <c r="E184" s="17"/>
      <c r="F184" t="str" s="18" cm="1">
        <f t="array" ref="F184">_xlfn.TEXTJOIN(" ",1,C184,D184,E184)</f>
        <v>CASH SALE</v>
      </c>
      <c r="G184" t="s" s="19">
        <v>9</v>
      </c>
      <c r="H184" s="20">
        <v>1500</v>
      </c>
      <c r="I184" s="20">
        <v>4.5</v>
      </c>
      <c r="J184" s="20">
        <v>1500</v>
      </c>
      <c r="K184" t="s" s="19">
        <v>291</v>
      </c>
      <c r="L184" t="s" s="19">
        <v>42</v>
      </c>
      <c r="M184" t="str" s="18" cm="1">
        <f t="array" ref="M184">IF(F184="CASH SALE",K184,F184)</f>
        <v>VIVEK BAVA</v>
      </c>
    </row>
    <row r="185" ht="22.8" customHeight="1">
      <c r="A185" s="14">
        <v>45757</v>
      </c>
      <c r="B185" s="15">
        <v>184</v>
      </c>
      <c r="C185" t="s" s="16">
        <v>36</v>
      </c>
      <c r="D185" s="17"/>
      <c r="E185" s="17"/>
      <c r="F185" t="str" s="18" cm="1">
        <f t="array" ref="F185">_xlfn.TEXTJOIN(" ",1,C185,D185,E185)</f>
        <v>ABHAS SINGH</v>
      </c>
      <c r="G185" t="s" s="19">
        <v>9</v>
      </c>
      <c r="H185" s="20">
        <v>1500</v>
      </c>
      <c r="I185" s="20">
        <v>4.5</v>
      </c>
      <c r="J185" s="20">
        <v>1500</v>
      </c>
      <c r="K185" t="s" s="19">
        <v>38</v>
      </c>
      <c r="L185" t="s" s="19">
        <v>35</v>
      </c>
      <c r="M185" t="str" s="18" cm="1">
        <f t="array" ref="M185">IF(F185="CASH SALE",K185,F185)</f>
        <v>ABHAS SINGH</v>
      </c>
    </row>
    <row r="186" ht="22.8" customHeight="1">
      <c r="A186" s="14">
        <v>45757</v>
      </c>
      <c r="B186" s="15">
        <v>185</v>
      </c>
      <c r="C186" t="s" s="16">
        <v>105</v>
      </c>
      <c r="D186" s="17"/>
      <c r="E186" s="17"/>
      <c r="F186" t="str" s="18" cm="1">
        <f t="array" ref="F186">_xlfn.TEXTJOIN(" ",1,C186,D186,E186)</f>
        <v>THAKARE THEKEDAR</v>
      </c>
      <c r="G186" t="s" s="19">
        <v>9</v>
      </c>
      <c r="H186" s="20">
        <v>1500</v>
      </c>
      <c r="I186" s="20">
        <v>4.5</v>
      </c>
      <c r="J186" s="20">
        <v>1500</v>
      </c>
      <c r="K186" t="s" s="19">
        <v>38</v>
      </c>
      <c r="L186" t="s" s="19">
        <v>42</v>
      </c>
      <c r="M186" t="str" s="18" cm="1">
        <f t="array" ref="M186">IF(F186="CASH SALE",K186,F186)</f>
        <v>THAKARE THEKEDAR</v>
      </c>
    </row>
    <row r="187" ht="22.8" customHeight="1">
      <c r="A187" s="14">
        <v>45757</v>
      </c>
      <c r="B187" s="15">
        <v>186</v>
      </c>
      <c r="C187" t="s" s="16">
        <v>293</v>
      </c>
      <c r="D187" s="17"/>
      <c r="E187" s="17"/>
      <c r="F187" t="str" s="18" cm="1">
        <f t="array" ref="F187">_xlfn.TEXTJOIN(" ",1,C187,D187,E187)</f>
        <v>SUNIL VISHWAKARMA</v>
      </c>
      <c r="G187" t="s" s="19">
        <v>9</v>
      </c>
      <c r="H187" s="20">
        <v>1500</v>
      </c>
      <c r="I187" s="20">
        <v>4.6</v>
      </c>
      <c r="J187" s="20">
        <v>1500</v>
      </c>
      <c r="K187" t="s" s="19">
        <v>295</v>
      </c>
      <c r="L187" t="s" s="19">
        <v>30</v>
      </c>
      <c r="M187" t="str" s="18" cm="1">
        <f t="array" ref="M187">IF(F187="CASH SALE",K187,F187)</f>
        <v>SUNIL VISHWAKARMA</v>
      </c>
    </row>
    <row r="188" ht="22.8" customHeight="1">
      <c r="A188" s="14">
        <v>45757</v>
      </c>
      <c r="B188" s="15">
        <v>187</v>
      </c>
      <c r="C188" t="s" s="16">
        <v>296</v>
      </c>
      <c r="D188" s="17"/>
      <c r="E188" s="17"/>
      <c r="F188" t="str" s="18" cm="1">
        <f t="array" ref="F188">_xlfn.TEXTJOIN(" ",1,C188,D188,E188)</f>
        <v>PRAMOD PUNYAPAWAR</v>
      </c>
      <c r="G188" t="s" s="19">
        <v>9</v>
      </c>
      <c r="H188" s="20">
        <v>1500</v>
      </c>
      <c r="I188" s="20">
        <v>4.4</v>
      </c>
      <c r="J188" s="20">
        <v>1500</v>
      </c>
      <c r="K188" t="s" s="19">
        <v>298</v>
      </c>
      <c r="L188" t="s" s="19">
        <v>35</v>
      </c>
      <c r="M188" t="str" s="18" cm="1">
        <f t="array" ref="M188">IF(F188="CASH SALE",K188,F188)</f>
        <v>PRAMOD PUNYAPAWAR</v>
      </c>
    </row>
    <row r="189" ht="22.8" customHeight="1">
      <c r="A189" s="14">
        <v>45758</v>
      </c>
      <c r="B189" s="15">
        <v>188</v>
      </c>
      <c r="C189" t="s" s="16">
        <v>7</v>
      </c>
      <c r="D189" s="17"/>
      <c r="E189" s="17"/>
      <c r="F189" t="str" s="18" cm="1">
        <f t="array" ref="F189">_xlfn.TEXTJOIN(" ",1,C189,D189,E189)</f>
        <v>CASH SALE</v>
      </c>
      <c r="G189" t="s" s="19">
        <v>9</v>
      </c>
      <c r="H189" s="20">
        <v>4000</v>
      </c>
      <c r="I189" s="20">
        <v>6</v>
      </c>
      <c r="J189" s="20">
        <v>4000</v>
      </c>
      <c r="K189" t="s" s="19">
        <v>243</v>
      </c>
      <c r="L189" t="s" s="19">
        <v>21</v>
      </c>
      <c r="M189" t="str" s="18" cm="1">
        <f t="array" ref="M189">IF(F189="CASH SALE",K189,F189)</f>
        <v>SANTOSH PA</v>
      </c>
    </row>
    <row r="190" ht="22.8" customHeight="1">
      <c r="A190" s="14">
        <v>45758</v>
      </c>
      <c r="B190" s="15">
        <v>189</v>
      </c>
      <c r="C190" t="s" s="16">
        <v>7</v>
      </c>
      <c r="D190" s="17"/>
      <c r="E190" s="17"/>
      <c r="F190" t="str" s="18" cm="1">
        <f t="array" ref="F190">_xlfn.TEXTJOIN(" ",1,C190,D190,E190)</f>
        <v>CASH SALE</v>
      </c>
      <c r="G190" t="s" s="19">
        <v>9</v>
      </c>
      <c r="H190" s="20">
        <v>4000</v>
      </c>
      <c r="I190" s="20">
        <v>5.25</v>
      </c>
      <c r="J190" s="20">
        <v>4000</v>
      </c>
      <c r="K190" t="s" s="19">
        <v>299</v>
      </c>
      <c r="L190" t="s" s="19">
        <v>21</v>
      </c>
      <c r="M190" t="str" s="18" cm="1">
        <f t="array" ref="M190">IF(F190="CASH SALE",K190,F190)</f>
        <v>CHAGAN BAV</v>
      </c>
    </row>
    <row r="191" ht="22.8" customHeight="1">
      <c r="A191" s="14">
        <v>45758</v>
      </c>
      <c r="B191" s="15">
        <v>191</v>
      </c>
      <c r="C191" t="s" s="16">
        <v>7</v>
      </c>
      <c r="D191" s="17"/>
      <c r="E191" s="17"/>
      <c r="F191" t="str" s="18" cm="1">
        <f t="array" ref="F191">_xlfn.TEXTJOIN(" ",1,C191,D191,E191)</f>
        <v>CASH SALE</v>
      </c>
      <c r="G191" t="s" s="19">
        <v>9</v>
      </c>
      <c r="H191" s="20">
        <v>3000</v>
      </c>
      <c r="I191" s="20">
        <v>5.25</v>
      </c>
      <c r="J191" s="20">
        <v>3000</v>
      </c>
      <c r="K191" t="s" s="19">
        <v>215</v>
      </c>
      <c r="L191" t="s" s="19">
        <v>27</v>
      </c>
      <c r="M191" t="str" s="18" cm="1">
        <f t="array" ref="M191">IF(F191="CASH SALE",K191,F191)</f>
        <v>ANIL BAVAN</v>
      </c>
    </row>
    <row r="192" ht="22.8" customHeight="1">
      <c r="A192" s="14">
        <v>45758</v>
      </c>
      <c r="B192" s="15">
        <v>192</v>
      </c>
      <c r="C192" t="s" s="16">
        <v>7</v>
      </c>
      <c r="D192" s="17"/>
      <c r="E192" s="17"/>
      <c r="F192" t="str" s="18" cm="1">
        <f t="array" ref="F192">_xlfn.TEXTJOIN(" ",1,C192,D192,E192)</f>
        <v>CASH SALE</v>
      </c>
      <c r="G192" t="s" s="19">
        <v>9</v>
      </c>
      <c r="H192" s="20">
        <v>2500</v>
      </c>
      <c r="I192" s="20">
        <v>5.75</v>
      </c>
      <c r="J192" s="20">
        <v>2500</v>
      </c>
      <c r="K192" t="s" s="19">
        <v>301</v>
      </c>
      <c r="L192" t="s" s="19">
        <v>11</v>
      </c>
      <c r="M192" t="str" s="18" cm="1">
        <f t="array" ref="M192">IF(F192="CASH SALE",K192,F192)</f>
        <v>PRASHANT G</v>
      </c>
    </row>
    <row r="193" ht="22.8" customHeight="1">
      <c r="A193" s="14">
        <v>45758</v>
      </c>
      <c r="B193" s="15">
        <v>193</v>
      </c>
      <c r="C193" t="s" s="16">
        <v>7</v>
      </c>
      <c r="D193" s="17"/>
      <c r="E193" s="17"/>
      <c r="F193" t="str" s="18" cm="1">
        <f t="array" ref="F193">_xlfn.TEXTJOIN(" ",1,C193,D193,E193)</f>
        <v>CASH SALE</v>
      </c>
      <c r="G193" t="s" s="19">
        <v>9</v>
      </c>
      <c r="H193" s="20">
        <v>2500</v>
      </c>
      <c r="I193" s="20">
        <v>5.25</v>
      </c>
      <c r="J193" s="20">
        <v>2500</v>
      </c>
      <c r="K193" t="s" s="19">
        <v>303</v>
      </c>
      <c r="L193" t="s" s="19">
        <v>11</v>
      </c>
      <c r="M193" t="str" s="18" cm="1">
        <f t="array" ref="M193">IF(F193="CASH SALE",K193,F193)</f>
        <v>GANESH WAD</v>
      </c>
    </row>
    <row r="194" ht="22.8" customHeight="1">
      <c r="A194" s="14">
        <v>45758</v>
      </c>
      <c r="B194" s="15">
        <v>194</v>
      </c>
      <c r="C194" t="s" s="16">
        <v>7</v>
      </c>
      <c r="D194" s="17"/>
      <c r="E194" s="17"/>
      <c r="F194" t="str" s="18" cm="1">
        <f t="array" ref="F194">_xlfn.TEXTJOIN(" ",1,C194,D194,E194)</f>
        <v>CASH SALE</v>
      </c>
      <c r="G194" t="s" s="19">
        <v>9</v>
      </c>
      <c r="H194" s="20">
        <v>1500</v>
      </c>
      <c r="I194" s="20">
        <v>4.6</v>
      </c>
      <c r="J194" s="20">
        <v>1500</v>
      </c>
      <c r="K194" t="s" s="19">
        <v>305</v>
      </c>
      <c r="L194" t="s" s="19">
        <v>42</v>
      </c>
      <c r="M194" t="str" s="18" cm="1">
        <f t="array" ref="M194">IF(F194="CASH SALE",K194,F194)</f>
        <v>KRISHNA YA</v>
      </c>
    </row>
    <row r="195" ht="22.8" customHeight="1">
      <c r="A195" s="14">
        <v>45758</v>
      </c>
      <c r="B195" s="15">
        <v>195</v>
      </c>
      <c r="C195" t="s" s="16">
        <v>307</v>
      </c>
      <c r="D195" s="17"/>
      <c r="E195" s="17"/>
      <c r="F195" t="str" s="18" cm="1">
        <f t="array" ref="F195">_xlfn.TEXTJOIN(" ",1,C195,D195,E195)</f>
        <v>RAVINDRA OHOD</v>
      </c>
      <c r="G195" t="s" s="19">
        <v>9</v>
      </c>
      <c r="H195" s="20">
        <v>1500</v>
      </c>
      <c r="I195" s="20">
        <v>4.7</v>
      </c>
      <c r="J195" s="20">
        <v>1500</v>
      </c>
      <c r="K195" t="s" s="19">
        <v>38</v>
      </c>
      <c r="L195" t="s" s="19">
        <v>42</v>
      </c>
      <c r="M195" t="str" s="18" cm="1">
        <f t="array" ref="M195">IF(F195="CASH SALE",K195,F195)</f>
        <v>RAVINDRA OHOD</v>
      </c>
    </row>
    <row r="196" ht="22.8" customHeight="1">
      <c r="A196" s="14">
        <v>45758</v>
      </c>
      <c r="B196" s="15">
        <v>196</v>
      </c>
      <c r="C196" t="s" s="16">
        <v>105</v>
      </c>
      <c r="D196" s="17"/>
      <c r="E196" s="17"/>
      <c r="F196" t="str" s="18" cm="1">
        <f t="array" ref="F196">_xlfn.TEXTJOIN(" ",1,C196,D196,E196)</f>
        <v>THAKARE THEKEDAR</v>
      </c>
      <c r="G196" t="s" s="19">
        <v>9</v>
      </c>
      <c r="H196" s="20">
        <v>1500</v>
      </c>
      <c r="I196" s="20">
        <v>4.5</v>
      </c>
      <c r="J196" s="20">
        <v>1500</v>
      </c>
      <c r="K196" t="s" s="19">
        <v>38</v>
      </c>
      <c r="L196" t="s" s="19">
        <v>35</v>
      </c>
      <c r="M196" t="str" s="18" cm="1">
        <f t="array" ref="M196">IF(F196="CASH SALE",K196,F196)</f>
        <v>THAKARE THEKEDAR</v>
      </c>
    </row>
    <row r="197" ht="22.8" customHeight="1">
      <c r="A197" s="14">
        <v>45758</v>
      </c>
      <c r="B197" s="15">
        <v>197</v>
      </c>
      <c r="C197" t="s" s="16">
        <v>271</v>
      </c>
      <c r="D197" s="17"/>
      <c r="E197" s="17"/>
      <c r="F197" t="str" s="18" cm="1">
        <f t="array" ref="F197">_xlfn.TEXTJOIN(" ",1,C197,D197,E197)</f>
        <v>VILAS GOURKAR</v>
      </c>
      <c r="G197" t="s" s="19">
        <v>9</v>
      </c>
      <c r="H197" s="20">
        <v>1500</v>
      </c>
      <c r="I197" s="20">
        <v>4.5</v>
      </c>
      <c r="J197" s="20">
        <v>1500</v>
      </c>
      <c r="K197" t="s" s="19">
        <v>273</v>
      </c>
      <c r="L197" t="s" s="19">
        <v>35</v>
      </c>
      <c r="M197" t="str" s="18" cm="1">
        <f t="array" ref="M197">IF(F197="CASH SALE",K197,F197)</f>
        <v>VILAS GOURKAR</v>
      </c>
    </row>
    <row r="198" ht="22.8" customHeight="1">
      <c r="A198" s="14">
        <v>45758</v>
      </c>
      <c r="B198" s="15">
        <v>198</v>
      </c>
      <c r="C198" t="s" s="16">
        <v>7</v>
      </c>
      <c r="D198" s="17"/>
      <c r="E198" s="17"/>
      <c r="F198" t="str" s="18" cm="1">
        <f t="array" ref="F198">_xlfn.TEXTJOIN(" ",1,C198,D198,E198)</f>
        <v>CASH SALE</v>
      </c>
      <c r="G198" t="s" s="19">
        <v>9</v>
      </c>
      <c r="H198" s="20">
        <v>1500</v>
      </c>
      <c r="I198" s="20">
        <v>4.67</v>
      </c>
      <c r="J198" s="20">
        <v>1500</v>
      </c>
      <c r="K198" t="s" s="19">
        <v>309</v>
      </c>
      <c r="L198" t="s" s="19">
        <v>30</v>
      </c>
      <c r="M198" t="str" s="18" cm="1">
        <f t="array" ref="M198">IF(F198="CASH SALE",K198,F198)</f>
        <v>AAKASH TOD</v>
      </c>
    </row>
    <row r="199" ht="22.8" customHeight="1">
      <c r="A199" s="14">
        <v>45758</v>
      </c>
      <c r="B199" s="15">
        <v>199</v>
      </c>
      <c r="C199" t="s" s="16">
        <v>96</v>
      </c>
      <c r="D199" s="17"/>
      <c r="E199" s="17"/>
      <c r="F199" t="str" s="18" cm="1">
        <f t="array" ref="F199">_xlfn.TEXTJOIN(" ",1,C199,D199,E199)</f>
        <v>MOHAN NAMANWAR</v>
      </c>
      <c r="G199" t="s" s="19">
        <v>9</v>
      </c>
      <c r="H199" s="20">
        <v>1500</v>
      </c>
      <c r="I199" s="20">
        <v>5</v>
      </c>
      <c r="J199" s="20">
        <v>1500</v>
      </c>
      <c r="K199" t="s" s="19">
        <v>253</v>
      </c>
      <c r="L199" t="s" s="19">
        <v>30</v>
      </c>
      <c r="M199" t="str" s="18" cm="1">
        <f t="array" ref="M199">IF(F199="CASH SALE",K199,F199)</f>
        <v>MOHAN NAMANWAR</v>
      </c>
    </row>
    <row r="200" ht="22.8" customHeight="1">
      <c r="A200" s="14">
        <v>45758</v>
      </c>
      <c r="B200" s="15">
        <v>200</v>
      </c>
      <c r="C200" t="s" s="16">
        <v>7</v>
      </c>
      <c r="D200" s="17"/>
      <c r="E200" s="17"/>
      <c r="F200" t="str" s="18" cm="1">
        <f t="array" ref="F200">_xlfn.TEXTJOIN(" ",1,C200,D200,E200)</f>
        <v>CASH SALE</v>
      </c>
      <c r="G200" t="s" s="19">
        <v>9</v>
      </c>
      <c r="H200" s="20">
        <v>1500</v>
      </c>
      <c r="I200" s="20">
        <v>4.6</v>
      </c>
      <c r="J200" s="20">
        <v>1500</v>
      </c>
      <c r="K200" t="s" s="19">
        <v>254</v>
      </c>
      <c r="L200" t="s" s="19">
        <v>30</v>
      </c>
      <c r="M200" t="str" s="18" cm="1">
        <f t="array" ref="M200">IF(F200="CASH SALE",K200,F200)</f>
        <v>SURESH AAW</v>
      </c>
    </row>
    <row r="201" ht="22.8" customHeight="1">
      <c r="A201" s="14">
        <v>45758</v>
      </c>
      <c r="B201" s="15">
        <v>201</v>
      </c>
      <c r="C201" t="s" s="16">
        <v>289</v>
      </c>
      <c r="D201" s="17"/>
      <c r="E201" s="17"/>
      <c r="F201" t="str" s="18" cm="1">
        <f t="array" ref="F201">_xlfn.TEXTJOIN(" ",1,C201,D201,E201)</f>
        <v>WADKAR SAHEB</v>
      </c>
      <c r="G201" t="s" s="19">
        <v>9</v>
      </c>
      <c r="H201" s="20">
        <v>1500</v>
      </c>
      <c r="I201" s="20">
        <v>4.7</v>
      </c>
      <c r="J201" s="20">
        <v>1500</v>
      </c>
      <c r="K201" t="s" s="19">
        <v>173</v>
      </c>
      <c r="L201" t="s" s="19">
        <v>35</v>
      </c>
      <c r="M201" t="str" s="18" cm="1">
        <f t="array" ref="M201">IF(F201="CASH SALE",K201,F201)</f>
        <v>WADKAR SAHEB</v>
      </c>
    </row>
    <row r="202" ht="22.8" customHeight="1">
      <c r="A202" s="14">
        <v>45758</v>
      </c>
      <c r="B202" s="15">
        <v>202</v>
      </c>
      <c r="C202" t="s" s="16">
        <v>7</v>
      </c>
      <c r="D202" s="17"/>
      <c r="E202" s="17"/>
      <c r="F202" t="str" s="18" cm="1">
        <f t="array" ref="F202">_xlfn.TEXTJOIN(" ",1,C202,D202,E202)</f>
        <v>CASH SALE</v>
      </c>
      <c r="G202" t="s" s="19">
        <v>9</v>
      </c>
      <c r="H202" s="20">
        <v>1500</v>
      </c>
      <c r="I202" s="20">
        <v>5</v>
      </c>
      <c r="J202" s="20">
        <v>1500</v>
      </c>
      <c r="K202" t="s" s="19">
        <v>287</v>
      </c>
      <c r="L202" t="s" s="19">
        <v>35</v>
      </c>
      <c r="M202" t="str" s="18" cm="1">
        <f t="array" ref="M202">IF(F202="CASH SALE",K202,F202)</f>
        <v>ARUN KARAM</v>
      </c>
    </row>
    <row r="203" ht="22.8" customHeight="1">
      <c r="A203" s="14">
        <v>45758</v>
      </c>
      <c r="B203" s="15">
        <v>203</v>
      </c>
      <c r="C203" t="s" s="16">
        <v>99</v>
      </c>
      <c r="D203" s="17"/>
      <c r="E203" s="17"/>
      <c r="F203" t="str" s="18" cm="1">
        <f t="array" ref="F203">_xlfn.TEXTJOIN(" ",1,C203,D203,E203)</f>
        <v>GAURAO NANDURKAR</v>
      </c>
      <c r="G203" t="s" s="19">
        <v>9</v>
      </c>
      <c r="H203" s="20">
        <v>1500</v>
      </c>
      <c r="I203" s="20">
        <v>4.5</v>
      </c>
      <c r="J203" s="20">
        <v>1500</v>
      </c>
      <c r="K203" t="s" s="19">
        <v>101</v>
      </c>
      <c r="L203" t="s" s="19">
        <v>30</v>
      </c>
      <c r="M203" t="str" s="18" cm="1">
        <f t="array" ref="M203">IF(F203="CASH SALE",K203,F203)</f>
        <v>GAURAO NANDURKAR</v>
      </c>
    </row>
    <row r="204" ht="22.8" customHeight="1">
      <c r="A204" s="14">
        <v>45758</v>
      </c>
      <c r="B204" s="15">
        <v>204</v>
      </c>
      <c r="C204" t="s" s="16">
        <v>7</v>
      </c>
      <c r="D204" s="17"/>
      <c r="E204" s="17"/>
      <c r="F204" t="str" s="18" cm="1">
        <f t="array" ref="F204">_xlfn.TEXTJOIN(" ",1,C204,D204,E204)</f>
        <v>CASH SALE</v>
      </c>
      <c r="G204" t="s" s="19">
        <v>9</v>
      </c>
      <c r="H204" s="20">
        <v>1500</v>
      </c>
      <c r="I204" s="20">
        <v>4.5</v>
      </c>
      <c r="J204" s="20">
        <v>1500</v>
      </c>
      <c r="K204" t="s" s="19">
        <v>291</v>
      </c>
      <c r="L204" t="s" s="19">
        <v>42</v>
      </c>
      <c r="M204" t="str" s="18" cm="1">
        <f t="array" ref="M204">IF(F204="CASH SALE",K204,F204)</f>
        <v>VIVEK BAVA</v>
      </c>
    </row>
    <row r="205" ht="22.8" customHeight="1">
      <c r="A205" s="14">
        <v>45758</v>
      </c>
      <c r="B205" s="15">
        <v>190</v>
      </c>
      <c r="C205" t="s" s="16">
        <v>311</v>
      </c>
      <c r="D205" s="17"/>
      <c r="E205" s="17"/>
      <c r="F205" t="str" s="18" cm="1">
        <f t="array" ref="F205">_xlfn.TEXTJOIN(" ",1,C205,D205,E205)</f>
        <v>PANDURANG NAVADE</v>
      </c>
      <c r="G205" t="s" s="19">
        <v>9</v>
      </c>
      <c r="H205" s="20">
        <v>3000</v>
      </c>
      <c r="I205" s="20">
        <v>6</v>
      </c>
      <c r="J205" s="20">
        <v>3000</v>
      </c>
      <c r="K205" s="18"/>
      <c r="L205" t="s" s="19">
        <v>27</v>
      </c>
      <c r="M205" t="str" s="18" cm="1">
        <f t="array" ref="M205">IF(F205="CASH SALE",K205,F205)</f>
        <v>PANDURANG NAVADE</v>
      </c>
    </row>
    <row r="206" ht="22.8" customHeight="1">
      <c r="A206" s="14">
        <v>45759</v>
      </c>
      <c r="B206" s="15">
        <v>205</v>
      </c>
      <c r="C206" t="s" s="16">
        <v>7</v>
      </c>
      <c r="D206" s="17"/>
      <c r="E206" s="17"/>
      <c r="F206" t="str" s="18" cm="1">
        <f t="array" ref="F206">_xlfn.TEXTJOIN(" ",1,C206,D206,E206)</f>
        <v>CASH SALE</v>
      </c>
      <c r="G206" t="s" s="19">
        <v>9</v>
      </c>
      <c r="H206" s="20">
        <v>4000</v>
      </c>
      <c r="I206" s="20">
        <v>5.25</v>
      </c>
      <c r="J206" s="20">
        <v>4000</v>
      </c>
      <c r="K206" t="s" s="19">
        <v>313</v>
      </c>
      <c r="L206" t="s" s="19">
        <v>21</v>
      </c>
      <c r="M206" t="str" s="18" cm="1">
        <f t="array" ref="M206">IF(F206="CASH SALE",K206,F206)</f>
        <v>VINOD PIDU</v>
      </c>
    </row>
    <row r="207" ht="22.8" customHeight="1">
      <c r="A207" s="14">
        <v>45759</v>
      </c>
      <c r="B207" s="15">
        <v>206</v>
      </c>
      <c r="C207" t="s" s="16">
        <v>7</v>
      </c>
      <c r="D207" s="17"/>
      <c r="E207" s="17"/>
      <c r="F207" t="str" s="18" cm="1">
        <f t="array" ref="F207">_xlfn.TEXTJOIN(" ",1,C207,D207,E207)</f>
        <v>CASH SALE</v>
      </c>
      <c r="G207" t="s" s="19">
        <v>9</v>
      </c>
      <c r="H207" s="20">
        <v>4000</v>
      </c>
      <c r="I207" s="20">
        <v>5.75</v>
      </c>
      <c r="J207" s="20">
        <v>4000</v>
      </c>
      <c r="K207" t="s" s="19">
        <v>315</v>
      </c>
      <c r="L207" t="s" s="19">
        <v>21</v>
      </c>
      <c r="M207" t="str" s="18" cm="1">
        <f t="array" ref="M207">IF(F207="CASH SALE",K207,F207)</f>
        <v>SHYAM YEDA</v>
      </c>
    </row>
    <row r="208" ht="22.8" customHeight="1">
      <c r="A208" s="14">
        <v>45759</v>
      </c>
      <c r="B208" s="15">
        <v>207</v>
      </c>
      <c r="C208" t="s" s="16">
        <v>7</v>
      </c>
      <c r="D208" s="17"/>
      <c r="E208" s="17"/>
      <c r="F208" t="str" s="18" cm="1">
        <f t="array" ref="F208">_xlfn.TEXTJOIN(" ",1,C208,D208,E208)</f>
        <v>CASH SALE</v>
      </c>
      <c r="G208" t="s" s="19">
        <v>9</v>
      </c>
      <c r="H208" s="20">
        <v>2500</v>
      </c>
      <c r="I208" s="20">
        <v>5.75</v>
      </c>
      <c r="J208" s="20">
        <v>2500</v>
      </c>
      <c r="K208" t="s" s="19">
        <v>317</v>
      </c>
      <c r="L208" t="s" s="19">
        <v>11</v>
      </c>
      <c r="M208" t="str" s="18" cm="1">
        <f t="array" ref="M208">IF(F208="CASH SALE",K208,F208)</f>
        <v>ANIL KADU</v>
      </c>
    </row>
    <row r="209" ht="22.8" customHeight="1">
      <c r="A209" s="14">
        <v>45759</v>
      </c>
      <c r="B209" s="15">
        <v>208</v>
      </c>
      <c r="C209" t="s" s="16">
        <v>319</v>
      </c>
      <c r="D209" s="17"/>
      <c r="E209" s="17"/>
      <c r="F209" t="str" s="18" cm="1">
        <f t="array" ref="F209">_xlfn.TEXTJOIN(" ",1,C209,D209,E209)</f>
        <v>MOUNISH ALI</v>
      </c>
      <c r="G209" t="s" s="19">
        <v>9</v>
      </c>
      <c r="H209" s="20">
        <v>2500</v>
      </c>
      <c r="I209" s="20">
        <v>5.5</v>
      </c>
      <c r="J209" s="20">
        <v>2500</v>
      </c>
      <c r="K209" t="s" s="19">
        <v>321</v>
      </c>
      <c r="L209" t="s" s="19">
        <v>11</v>
      </c>
      <c r="M209" t="str" s="18" cm="1">
        <f t="array" ref="M209">IF(F209="CASH SALE",K209,F209)</f>
        <v>MOUNISH ALI</v>
      </c>
    </row>
    <row r="210" ht="22.8" customHeight="1">
      <c r="A210" s="14">
        <v>45759</v>
      </c>
      <c r="B210" s="15">
        <v>210</v>
      </c>
      <c r="C210" t="s" s="16">
        <v>23</v>
      </c>
      <c r="D210" s="17"/>
      <c r="E210" s="17"/>
      <c r="F210" t="str" s="18" cm="1">
        <f t="array" ref="F210">_xlfn.TEXTJOIN(" ",1,C210,D210,E210)</f>
        <v>CANCAL D M</v>
      </c>
      <c r="G210" t="s" s="19">
        <v>25</v>
      </c>
      <c r="H210" s="20">
        <v>1</v>
      </c>
      <c r="I210" s="20">
        <v>1</v>
      </c>
      <c r="J210" s="20">
        <v>1</v>
      </c>
      <c r="K210" s="18"/>
      <c r="L210" s="18"/>
      <c r="M210" t="str" s="18" cm="1">
        <f t="array" ref="M210">IF(F210="CASH SALE",K210,F210)</f>
        <v>CANCAL D M</v>
      </c>
    </row>
    <row r="211" ht="22.8" customHeight="1">
      <c r="A211" s="14">
        <v>45759</v>
      </c>
      <c r="B211" s="15">
        <v>212</v>
      </c>
      <c r="C211" t="s" s="16">
        <v>7</v>
      </c>
      <c r="D211" s="17"/>
      <c r="E211" s="17"/>
      <c r="F211" t="str" s="18" cm="1">
        <f t="array" ref="F211">_xlfn.TEXTJOIN(" ",1,C211,D211,E211)</f>
        <v>CASH SALE</v>
      </c>
      <c r="G211" t="s" s="19">
        <v>9</v>
      </c>
      <c r="H211" s="20">
        <v>1500</v>
      </c>
      <c r="I211" s="20">
        <v>4.6</v>
      </c>
      <c r="J211" s="20">
        <v>1500</v>
      </c>
      <c r="K211" t="s" s="19">
        <v>322</v>
      </c>
      <c r="L211" t="s" s="19">
        <v>42</v>
      </c>
      <c r="M211" t="str" s="18" cm="1">
        <f t="array" ref="M211">IF(F211="CASH SALE",K211,F211)</f>
        <v>SATISH KHA</v>
      </c>
    </row>
    <row r="212" ht="22.8" customHeight="1">
      <c r="A212" s="14">
        <v>45759</v>
      </c>
      <c r="B212" s="15">
        <v>213</v>
      </c>
      <c r="C212" t="s" s="16">
        <v>105</v>
      </c>
      <c r="D212" s="17"/>
      <c r="E212" s="17"/>
      <c r="F212" t="str" s="18" cm="1">
        <f t="array" ref="F212">_xlfn.TEXTJOIN(" ",1,C212,D212,E212)</f>
        <v>THAKARE THEKEDAR</v>
      </c>
      <c r="G212" t="s" s="19">
        <v>9</v>
      </c>
      <c r="H212" s="20">
        <v>1500</v>
      </c>
      <c r="I212" s="20">
        <v>4.5</v>
      </c>
      <c r="J212" s="20">
        <v>1500</v>
      </c>
      <c r="K212" t="s" s="19">
        <v>38</v>
      </c>
      <c r="L212" t="s" s="19">
        <v>42</v>
      </c>
      <c r="M212" t="str" s="18" cm="1">
        <f t="array" ref="M212">IF(F212="CASH SALE",K212,F212)</f>
        <v>THAKARE THEKEDAR</v>
      </c>
    </row>
    <row r="213" ht="22.8" customHeight="1">
      <c r="A213" s="14">
        <v>45759</v>
      </c>
      <c r="B213" s="15">
        <v>214</v>
      </c>
      <c r="C213" t="s" s="16">
        <v>39</v>
      </c>
      <c r="D213" s="17"/>
      <c r="E213" s="17"/>
      <c r="F213" t="str" s="18" cm="1">
        <f t="array" ref="F213">_xlfn.TEXTJOIN(" ",1,C213,D213,E213)</f>
        <v>MANISH TAPASE</v>
      </c>
      <c r="G213" t="s" s="19">
        <v>9</v>
      </c>
      <c r="H213" s="20">
        <v>1000</v>
      </c>
      <c r="I213" s="20">
        <v>4.8</v>
      </c>
      <c r="J213" s="20">
        <v>1000</v>
      </c>
      <c r="K213" t="s" s="19">
        <v>324</v>
      </c>
      <c r="L213" t="s" s="19">
        <v>30</v>
      </c>
      <c r="M213" t="str" s="18" cm="1">
        <f t="array" ref="M213">IF(F213="CASH SALE",K213,F213)</f>
        <v>MANISH TAPASE</v>
      </c>
    </row>
    <row r="214" ht="22.8" customHeight="1">
      <c r="A214" s="14">
        <v>45759</v>
      </c>
      <c r="B214" s="15">
        <v>215</v>
      </c>
      <c r="C214" t="s" s="16">
        <v>7</v>
      </c>
      <c r="D214" s="17"/>
      <c r="E214" s="17"/>
      <c r="F214" t="str" s="18" cm="1">
        <f t="array" ref="F214">_xlfn.TEXTJOIN(" ",1,C214,D214,E214)</f>
        <v>CASH SALE</v>
      </c>
      <c r="G214" t="s" s="19">
        <v>9</v>
      </c>
      <c r="H214" s="20">
        <v>1500</v>
      </c>
      <c r="I214" s="20">
        <v>4.73</v>
      </c>
      <c r="J214" s="20">
        <v>1500</v>
      </c>
      <c r="K214" t="s" s="19">
        <v>151</v>
      </c>
      <c r="L214" t="s" s="19">
        <v>30</v>
      </c>
      <c r="M214" t="str" s="18" cm="1">
        <f t="array" ref="M214">IF(F214="CASH SALE",K214,F214)</f>
        <v>SANJAY BHO</v>
      </c>
    </row>
    <row r="215" ht="22.8" customHeight="1">
      <c r="A215" s="14">
        <v>45759</v>
      </c>
      <c r="B215" s="15">
        <v>216</v>
      </c>
      <c r="C215" t="s" s="16">
        <v>296</v>
      </c>
      <c r="D215" s="17"/>
      <c r="E215" s="17"/>
      <c r="F215" t="str" s="18" cm="1">
        <f t="array" ref="F215">_xlfn.TEXTJOIN(" ",1,C215,D215,E215)</f>
        <v>PRAMOD PUNYAPAWAR</v>
      </c>
      <c r="G215" t="s" s="19">
        <v>9</v>
      </c>
      <c r="H215" s="20">
        <v>300</v>
      </c>
      <c r="I215" s="20">
        <v>4</v>
      </c>
      <c r="J215" s="20">
        <v>300</v>
      </c>
      <c r="K215" s="18"/>
      <c r="L215" t="s" s="19">
        <v>325</v>
      </c>
      <c r="M215" t="str" s="18" cm="1">
        <f t="array" ref="M215">IF(F215="CASH SALE",K215,F215)</f>
        <v>PRAMOD PUNYAPAWAR</v>
      </c>
    </row>
    <row r="216" ht="22.8" customHeight="1">
      <c r="A216" s="14">
        <v>45759</v>
      </c>
      <c r="B216" s="15">
        <v>217</v>
      </c>
      <c r="C216" t="s" s="16">
        <v>7</v>
      </c>
      <c r="D216" s="17"/>
      <c r="E216" s="17"/>
      <c r="F216" t="str" s="18" cm="1">
        <f t="array" ref="F216">_xlfn.TEXTJOIN(" ",1,C216,D216,E216)</f>
        <v>CASH SALE</v>
      </c>
      <c r="G216" t="s" s="19">
        <v>9</v>
      </c>
      <c r="H216" s="20">
        <v>3000</v>
      </c>
      <c r="I216" s="20">
        <v>5.4</v>
      </c>
      <c r="J216" s="20">
        <v>3000</v>
      </c>
      <c r="K216" t="s" s="19">
        <v>326</v>
      </c>
      <c r="L216" t="s" s="19">
        <v>27</v>
      </c>
      <c r="M216" t="str" s="18" cm="1">
        <f t="array" ref="M216">IF(F216="CASH SALE",K216,F216)</f>
        <v>BHALCHANDR</v>
      </c>
    </row>
    <row r="217" ht="22.8" customHeight="1">
      <c r="A217" s="14">
        <v>45759</v>
      </c>
      <c r="B217" s="15">
        <v>218</v>
      </c>
      <c r="C217" t="s" s="16">
        <v>7</v>
      </c>
      <c r="D217" s="17"/>
      <c r="E217" s="17"/>
      <c r="F217" t="str" s="18" cm="1">
        <f t="array" ref="F217">_xlfn.TEXTJOIN(" ",1,C217,D217,E217)</f>
        <v>CASH SALE</v>
      </c>
      <c r="G217" t="s" s="19">
        <v>9</v>
      </c>
      <c r="H217" s="20">
        <v>1500</v>
      </c>
      <c r="I217" s="20">
        <v>4.5</v>
      </c>
      <c r="J217" s="20">
        <v>1500</v>
      </c>
      <c r="K217" t="s" s="19">
        <v>328</v>
      </c>
      <c r="L217" t="s" s="19">
        <v>30</v>
      </c>
      <c r="M217" t="str" s="18" cm="1">
        <f t="array" ref="M217">IF(F217="CASH SALE",K217,F217)</f>
        <v>RAHUL KHOD</v>
      </c>
    </row>
    <row r="218" ht="22.8" customHeight="1">
      <c r="A218" s="14">
        <v>45759</v>
      </c>
      <c r="B218" s="15">
        <v>219</v>
      </c>
      <c r="C218" t="s" s="16">
        <v>261</v>
      </c>
      <c r="D218" s="17"/>
      <c r="E218" s="17"/>
      <c r="F218" t="str" s="18" cm="1">
        <f t="array" ref="F218">_xlfn.TEXTJOIN(" ",1,C218,D218,E218)</f>
        <v>MAGIC SPLASH &amp; RESOR</v>
      </c>
      <c r="G218" t="s" s="19">
        <v>9</v>
      </c>
      <c r="H218" s="20">
        <v>1500</v>
      </c>
      <c r="I218" s="20">
        <v>4.7</v>
      </c>
      <c r="J218" s="20">
        <v>1500</v>
      </c>
      <c r="K218" t="s" s="19">
        <v>150</v>
      </c>
      <c r="L218" t="s" s="19">
        <v>42</v>
      </c>
      <c r="M218" t="str" s="18" cm="1">
        <f t="array" ref="M218">IF(F218="CASH SALE",K218,F218)</f>
        <v>MAGIC SPLASH &amp; RESOR</v>
      </c>
    </row>
    <row r="219" ht="22.8" customHeight="1">
      <c r="A219" s="14">
        <v>45759</v>
      </c>
      <c r="B219" s="15">
        <v>220</v>
      </c>
      <c r="C219" t="s" s="16">
        <v>7</v>
      </c>
      <c r="D219" s="17"/>
      <c r="E219" s="17"/>
      <c r="F219" t="str" s="18" cm="1">
        <f t="array" ref="F219">_xlfn.TEXTJOIN(" ",1,C219,D219,E219)</f>
        <v>CASH SALE</v>
      </c>
      <c r="G219" t="s" s="19">
        <v>9</v>
      </c>
      <c r="H219" s="20">
        <v>1500</v>
      </c>
      <c r="I219" s="20">
        <v>4.6</v>
      </c>
      <c r="J219" s="20">
        <v>1500</v>
      </c>
      <c r="K219" t="s" s="19">
        <v>254</v>
      </c>
      <c r="L219" t="s" s="19">
        <v>30</v>
      </c>
      <c r="M219" t="str" s="18" cm="1">
        <f t="array" ref="M219">IF(F219="CASH SALE",K219,F219)</f>
        <v>SURESH AAW</v>
      </c>
    </row>
    <row r="220" ht="22.8" customHeight="1">
      <c r="A220" s="14">
        <v>45759</v>
      </c>
      <c r="B220" s="15">
        <v>221</v>
      </c>
      <c r="C220" t="s" s="16">
        <v>7</v>
      </c>
      <c r="D220" s="17"/>
      <c r="E220" s="17"/>
      <c r="F220" t="str" s="18" cm="1">
        <f t="array" ref="F220">_xlfn.TEXTJOIN(" ",1,C220,D220,E220)</f>
        <v>CASH SALE</v>
      </c>
      <c r="G220" t="s" s="19">
        <v>9</v>
      </c>
      <c r="H220" s="20">
        <v>1500</v>
      </c>
      <c r="I220" s="20">
        <v>4.8</v>
      </c>
      <c r="J220" s="20">
        <v>1500</v>
      </c>
      <c r="K220" t="s" s="19">
        <v>228</v>
      </c>
      <c r="L220" t="s" s="19">
        <v>42</v>
      </c>
      <c r="M220" t="str" s="18" cm="1">
        <f t="array" ref="M220">IF(F220="CASH SALE",K220,F220)</f>
        <v>ARUN KUMAR</v>
      </c>
    </row>
    <row r="221" ht="22.8" customHeight="1">
      <c r="A221" s="14">
        <v>45759</v>
      </c>
      <c r="B221" s="15">
        <v>222</v>
      </c>
      <c r="C221" t="s" s="16">
        <v>72</v>
      </c>
      <c r="D221" s="17"/>
      <c r="E221" s="17"/>
      <c r="F221" t="str" s="18" cm="1">
        <f t="array" ref="F221">_xlfn.TEXTJOIN(" ",1,C221,D221,E221)</f>
        <v>SANTOSH PUNYAPAWAR</v>
      </c>
      <c r="G221" t="s" s="19">
        <v>9</v>
      </c>
      <c r="H221" s="20">
        <v>400</v>
      </c>
      <c r="I221" s="20">
        <v>4</v>
      </c>
      <c r="J221" s="20">
        <v>400</v>
      </c>
      <c r="K221" s="18"/>
      <c r="L221" t="s" s="19">
        <v>330</v>
      </c>
      <c r="M221" t="str" s="18" cm="1">
        <f t="array" ref="M221">IF(F221="CASH SALE",K221,F221)</f>
        <v>SANTOSH PUNYAPAWAR</v>
      </c>
    </row>
    <row r="222" ht="22.8" customHeight="1">
      <c r="A222" s="14">
        <v>45759</v>
      </c>
      <c r="B222" s="15">
        <v>209</v>
      </c>
      <c r="C222" t="s" s="16">
        <v>7</v>
      </c>
      <c r="D222" s="17"/>
      <c r="E222" s="17"/>
      <c r="F222" t="str" s="18" cm="1">
        <f t="array" ref="F222">_xlfn.TEXTJOIN(" ",1,C222,D222,E222)</f>
        <v>CASH SALE</v>
      </c>
      <c r="G222" t="s" s="19">
        <v>9</v>
      </c>
      <c r="H222" s="20">
        <v>3000</v>
      </c>
      <c r="I222" s="20">
        <v>5.75</v>
      </c>
      <c r="J222" s="20">
        <v>3000</v>
      </c>
      <c r="K222" t="s" s="19">
        <v>92</v>
      </c>
      <c r="L222" t="s" s="19">
        <v>27</v>
      </c>
      <c r="M222" t="str" s="18" cm="1">
        <f t="array" ref="M222">IF(F222="CASH SALE",K222,F222)</f>
        <v>ROHIT BURR</v>
      </c>
    </row>
    <row r="223" ht="22.8" customHeight="1">
      <c r="A223" s="14">
        <v>45759</v>
      </c>
      <c r="B223" s="15">
        <v>211</v>
      </c>
      <c r="C223" t="s" s="16">
        <v>7</v>
      </c>
      <c r="D223" s="17"/>
      <c r="E223" s="17"/>
      <c r="F223" t="str" s="18" cm="1">
        <f t="array" ref="F223">_xlfn.TEXTJOIN(" ",1,C223,D223,E223)</f>
        <v>CASH SALE</v>
      </c>
      <c r="G223" t="s" s="19">
        <v>9</v>
      </c>
      <c r="H223" s="20">
        <v>4000</v>
      </c>
      <c r="I223" s="20">
        <v>5.5</v>
      </c>
      <c r="J223" s="20">
        <v>4000</v>
      </c>
      <c r="K223" t="s" s="19">
        <v>331</v>
      </c>
      <c r="L223" t="s" s="19">
        <v>16</v>
      </c>
      <c r="M223" t="str" s="18" cm="1">
        <f t="array" ref="M223">IF(F223="CASH SALE",K223,F223)</f>
        <v>GANESH GOH</v>
      </c>
    </row>
    <row r="224" ht="22.8" customHeight="1">
      <c r="A224" s="14">
        <v>45760</v>
      </c>
      <c r="B224" s="15">
        <v>223</v>
      </c>
      <c r="C224" t="s" s="16">
        <v>7</v>
      </c>
      <c r="D224" s="17"/>
      <c r="E224" s="17"/>
      <c r="F224" t="str" s="18" cm="1">
        <f t="array" ref="F224">_xlfn.TEXTJOIN(" ",1,C224,D224,E224)</f>
        <v>CASH SALE</v>
      </c>
      <c r="G224" t="s" s="19">
        <v>9</v>
      </c>
      <c r="H224" s="20">
        <v>4000</v>
      </c>
      <c r="I224" s="20">
        <v>5.75</v>
      </c>
      <c r="J224" s="20">
        <v>4000</v>
      </c>
      <c r="K224" t="s" s="19">
        <v>333</v>
      </c>
      <c r="L224" t="s" s="19">
        <v>21</v>
      </c>
      <c r="M224" t="str" s="18" cm="1">
        <f t="array" ref="M224">IF(F224="CASH SALE",K224,F224)</f>
        <v>GAJANAN TU</v>
      </c>
    </row>
    <row r="225" ht="22.8" customHeight="1">
      <c r="A225" s="14">
        <v>45760</v>
      </c>
      <c r="B225" s="15">
        <v>224</v>
      </c>
      <c r="C225" t="s" s="16">
        <v>7</v>
      </c>
      <c r="D225" s="17"/>
      <c r="E225" s="17"/>
      <c r="F225" t="str" s="18" cm="1">
        <f t="array" ref="F225">_xlfn.TEXTJOIN(" ",1,C225,D225,E225)</f>
        <v>CASH SALE</v>
      </c>
      <c r="G225" t="s" s="19">
        <v>9</v>
      </c>
      <c r="H225" s="20">
        <v>4000</v>
      </c>
      <c r="I225" s="20">
        <v>6</v>
      </c>
      <c r="J225" s="20">
        <v>4000</v>
      </c>
      <c r="K225" t="s" s="19">
        <v>335</v>
      </c>
      <c r="L225" t="s" s="19">
        <v>21</v>
      </c>
      <c r="M225" t="str" s="18" cm="1">
        <f t="array" ref="M225">IF(F225="CASH SALE",K225,F225)</f>
        <v>LAXMAN UDE</v>
      </c>
    </row>
    <row r="226" ht="23.15" customHeight="1">
      <c r="A226" s="22">
        <v>45760</v>
      </c>
      <c r="B226" s="23">
        <v>225</v>
      </c>
      <c r="C226" t="s" s="24">
        <v>7</v>
      </c>
      <c r="D226" s="25"/>
      <c r="E226" s="25"/>
      <c r="F226" t="str" s="26" cm="1">
        <f t="array" ref="F226">_xlfn.TEXTJOIN(" ",1,C226,D226,E226)</f>
        <v>CASH SALE</v>
      </c>
      <c r="G226" t="s" s="27">
        <v>9</v>
      </c>
      <c r="H226" s="28">
        <v>2500</v>
      </c>
      <c r="I226" s="28">
        <v>5.75</v>
      </c>
      <c r="J226" s="28">
        <v>2500</v>
      </c>
      <c r="K226" t="s" s="27">
        <v>337</v>
      </c>
      <c r="L226" t="s" s="27">
        <v>11</v>
      </c>
      <c r="M226" t="str" s="26" cm="1">
        <f t="array" ref="M226">IF(F226="CASH SALE",K226,F226)</f>
        <v>MAROTI GAV</v>
      </c>
    </row>
    <row r="227" ht="23.15" customHeight="1">
      <c r="A227" s="7">
        <v>45760</v>
      </c>
      <c r="B227" s="8">
        <v>226</v>
      </c>
      <c r="C227" t="s" s="9">
        <v>7</v>
      </c>
      <c r="D227" s="10"/>
      <c r="E227" s="10"/>
      <c r="F227" t="str" s="11" cm="1">
        <f t="array" ref="F227">_xlfn.TEXTJOIN(" ",1,C227,D227,E227)</f>
        <v>CASH SALE</v>
      </c>
      <c r="G227" t="s" s="12">
        <v>9</v>
      </c>
      <c r="H227" s="13">
        <v>2500</v>
      </c>
      <c r="I227" s="13">
        <v>5.5</v>
      </c>
      <c r="J227" s="13">
        <v>2500</v>
      </c>
      <c r="K227" t="s" s="12">
        <v>339</v>
      </c>
      <c r="L227" t="s" s="12">
        <v>11</v>
      </c>
      <c r="M227" t="str" s="11" cm="1">
        <f t="array" ref="M227">IF(F227="CASH SALE",K227,F227)</f>
        <v>SHANKAR SO</v>
      </c>
    </row>
    <row r="228" ht="22.8" customHeight="1">
      <c r="A228" s="14">
        <v>45760</v>
      </c>
      <c r="B228" s="15">
        <v>227</v>
      </c>
      <c r="C228" t="s" s="16">
        <v>7</v>
      </c>
      <c r="D228" s="17"/>
      <c r="E228" s="17"/>
      <c r="F228" t="str" s="18" cm="1">
        <f t="array" ref="F228">_xlfn.TEXTJOIN(" ",1,C228,D228,E228)</f>
        <v>CASH SALE</v>
      </c>
      <c r="G228" t="s" s="19">
        <v>9</v>
      </c>
      <c r="H228" s="20">
        <v>3000</v>
      </c>
      <c r="I228" s="20">
        <v>5.75</v>
      </c>
      <c r="J228" s="20">
        <v>3000</v>
      </c>
      <c r="K228" t="s" s="19">
        <v>130</v>
      </c>
      <c r="L228" t="s" s="19">
        <v>27</v>
      </c>
      <c r="M228" t="str" s="18" cm="1">
        <f t="array" ref="M228">IF(F228="CASH SALE",K228,F228)</f>
        <v>VIKAS BHOY</v>
      </c>
    </row>
    <row r="229" ht="22.8" customHeight="1">
      <c r="A229" s="14">
        <v>45760</v>
      </c>
      <c r="B229" s="15">
        <v>228</v>
      </c>
      <c r="C229" t="s" s="16">
        <v>7</v>
      </c>
      <c r="D229" s="17"/>
      <c r="E229" s="17"/>
      <c r="F229" t="str" s="18" cm="1">
        <f t="array" ref="F229">_xlfn.TEXTJOIN(" ",1,C229,D229,E229)</f>
        <v>CASH SALE</v>
      </c>
      <c r="G229" t="s" s="19">
        <v>9</v>
      </c>
      <c r="H229" s="20">
        <v>3000</v>
      </c>
      <c r="I229" s="20">
        <v>5.75</v>
      </c>
      <c r="J229" s="20">
        <v>3000</v>
      </c>
      <c r="K229" t="s" s="19">
        <v>341</v>
      </c>
      <c r="L229" t="s" s="19">
        <v>27</v>
      </c>
      <c r="M229" t="str" s="18" cm="1">
        <f t="array" ref="M229">IF(F229="CASH SALE",K229,F229)</f>
        <v>GANESH AAD</v>
      </c>
    </row>
    <row r="230" ht="22.8" customHeight="1">
      <c r="A230" s="14">
        <v>45760</v>
      </c>
      <c r="B230" s="15">
        <v>229</v>
      </c>
      <c r="C230" t="s" s="16">
        <v>7</v>
      </c>
      <c r="D230" s="17"/>
      <c r="E230" s="17"/>
      <c r="F230" t="str" s="18" cm="1">
        <f t="array" ref="F230">_xlfn.TEXTJOIN(" ",1,C230,D230,E230)</f>
        <v>CASH SALE</v>
      </c>
      <c r="G230" t="s" s="19">
        <v>9</v>
      </c>
      <c r="H230" s="20">
        <v>4000</v>
      </c>
      <c r="I230" s="20">
        <v>6</v>
      </c>
      <c r="J230" s="20">
        <v>4000</v>
      </c>
      <c r="K230" t="s" s="19">
        <v>157</v>
      </c>
      <c r="L230" t="s" s="19">
        <v>16</v>
      </c>
      <c r="M230" t="str" s="18" cm="1">
        <f t="array" ref="M230">IF(F230="CASH SALE",K230,F230)</f>
        <v>DATTU GATA</v>
      </c>
    </row>
    <row r="231" ht="22.8" customHeight="1">
      <c r="A231" s="14">
        <v>45760</v>
      </c>
      <c r="B231" s="15">
        <v>230</v>
      </c>
      <c r="C231" t="s" s="16">
        <v>7</v>
      </c>
      <c r="D231" s="17"/>
      <c r="E231" s="17"/>
      <c r="F231" t="str" s="18" cm="1">
        <f t="array" ref="F231">_xlfn.TEXTJOIN(" ",1,C231,D231,E231)</f>
        <v>CASH SALE</v>
      </c>
      <c r="G231" t="s" s="19">
        <v>9</v>
      </c>
      <c r="H231" s="20">
        <v>4000</v>
      </c>
      <c r="I231" s="20">
        <v>5.25</v>
      </c>
      <c r="J231" s="20">
        <v>4000</v>
      </c>
      <c r="K231" t="s" s="19">
        <v>343</v>
      </c>
      <c r="L231" t="s" s="19">
        <v>16</v>
      </c>
      <c r="M231" t="str" s="18" cm="1">
        <f t="array" ref="M231">IF(F231="CASH SALE",K231,F231)</f>
        <v>SANDESH KU</v>
      </c>
    </row>
    <row r="232" ht="22.8" customHeight="1">
      <c r="A232" s="14">
        <v>45760</v>
      </c>
      <c r="B232" s="15">
        <v>231</v>
      </c>
      <c r="C232" t="s" s="16">
        <v>96</v>
      </c>
      <c r="D232" s="17"/>
      <c r="E232" s="17"/>
      <c r="F232" t="str" s="18" cm="1">
        <f t="array" ref="F232">_xlfn.TEXTJOIN(" ",1,C232,D232,E232)</f>
        <v>MOHAN NAMANWAR</v>
      </c>
      <c r="G232" t="s" s="19">
        <v>9</v>
      </c>
      <c r="H232" s="20">
        <v>1500</v>
      </c>
      <c r="I232" s="20">
        <v>5</v>
      </c>
      <c r="J232" s="20">
        <v>1500</v>
      </c>
      <c r="K232" t="s" s="19">
        <v>253</v>
      </c>
      <c r="L232" t="s" s="19">
        <v>30</v>
      </c>
      <c r="M232" t="str" s="18" cm="1">
        <f t="array" ref="M232">IF(F232="CASH SALE",K232,F232)</f>
        <v>MOHAN NAMANWAR</v>
      </c>
    </row>
    <row r="233" ht="22.8" customHeight="1">
      <c r="A233" s="14">
        <v>45760</v>
      </c>
      <c r="B233" s="15">
        <v>232</v>
      </c>
      <c r="C233" t="s" s="16">
        <v>256</v>
      </c>
      <c r="D233" s="17"/>
      <c r="E233" s="17"/>
      <c r="F233" t="str" s="18" cm="1">
        <f t="array" ref="F233">_xlfn.TEXTJOIN(" ",1,C233,D233,E233)</f>
        <v>RAGIT BANDHU TRADERS</v>
      </c>
      <c r="G233" t="s" s="19">
        <v>9</v>
      </c>
      <c r="H233" s="20">
        <v>1500</v>
      </c>
      <c r="I233" s="20">
        <v>4.4</v>
      </c>
      <c r="J233" s="20">
        <v>1500</v>
      </c>
      <c r="K233" t="s" s="19">
        <v>150</v>
      </c>
      <c r="L233" t="s" s="19">
        <v>30</v>
      </c>
      <c r="M233" t="str" s="18" cm="1">
        <f t="array" ref="M233">IF(F233="CASH SALE",K233,F233)</f>
        <v>RAGIT BANDHU TRADERS</v>
      </c>
    </row>
    <row r="234" ht="22.8" customHeight="1">
      <c r="A234" s="14">
        <v>45760</v>
      </c>
      <c r="B234" s="15">
        <v>233</v>
      </c>
      <c r="C234" t="s" s="16">
        <v>198</v>
      </c>
      <c r="D234" s="17"/>
      <c r="E234" s="17"/>
      <c r="F234" t="str" s="18" cm="1">
        <f t="array" ref="F234">_xlfn.TEXTJOIN(" ",1,C234,D234,E234)</f>
        <v>RENUKA H W</v>
      </c>
      <c r="G234" t="s" s="19">
        <v>9</v>
      </c>
      <c r="H234" s="20">
        <v>1500</v>
      </c>
      <c r="I234" s="20">
        <v>4.4</v>
      </c>
      <c r="J234" s="20">
        <v>1500</v>
      </c>
      <c r="K234" t="s" s="19">
        <v>104</v>
      </c>
      <c r="L234" t="s" s="19">
        <v>35</v>
      </c>
      <c r="M234" t="str" s="18" cm="1">
        <f t="array" ref="M234">IF(F234="CASH SALE",K234,F234)</f>
        <v>RENUKA H W</v>
      </c>
    </row>
    <row r="235" ht="22.8" customHeight="1">
      <c r="A235" s="14">
        <v>45760</v>
      </c>
      <c r="B235" s="15">
        <v>234</v>
      </c>
      <c r="C235" t="s" s="16">
        <v>271</v>
      </c>
      <c r="D235" s="17"/>
      <c r="E235" s="17"/>
      <c r="F235" t="str" s="18" cm="1">
        <f t="array" ref="F235">_xlfn.TEXTJOIN(" ",1,C235,D235,E235)</f>
        <v>VILAS GOURKAR</v>
      </c>
      <c r="G235" t="s" s="19">
        <v>9</v>
      </c>
      <c r="H235" s="20">
        <v>1500</v>
      </c>
      <c r="I235" s="20">
        <v>4.5</v>
      </c>
      <c r="J235" s="20">
        <v>1500</v>
      </c>
      <c r="K235" t="s" s="19">
        <v>273</v>
      </c>
      <c r="L235" t="s" s="19">
        <v>35</v>
      </c>
      <c r="M235" t="str" s="18" cm="1">
        <f t="array" ref="M235">IF(F235="CASH SALE",K235,F235)</f>
        <v>VILAS GOURKAR</v>
      </c>
    </row>
    <row r="236" ht="22.8" customHeight="1">
      <c r="A236" s="14">
        <v>45760</v>
      </c>
      <c r="B236" s="15">
        <v>235</v>
      </c>
      <c r="C236" t="s" s="16">
        <v>23</v>
      </c>
      <c r="D236" s="17"/>
      <c r="E236" s="17"/>
      <c r="F236" t="str" s="18" cm="1">
        <f t="array" ref="F236">_xlfn.TEXTJOIN(" ",1,C236,D236,E236)</f>
        <v>CANCAL D M</v>
      </c>
      <c r="G236" t="s" s="19">
        <v>25</v>
      </c>
      <c r="H236" s="20">
        <v>1</v>
      </c>
      <c r="I236" s="20">
        <v>1</v>
      </c>
      <c r="J236" s="20">
        <v>1</v>
      </c>
      <c r="K236" s="18"/>
      <c r="L236" s="18"/>
      <c r="M236" t="str" s="18" cm="1">
        <f t="array" ref="M236">IF(F236="CASH SALE",K236,F236)</f>
        <v>CANCAL D M</v>
      </c>
    </row>
    <row r="237" ht="22.8" customHeight="1">
      <c r="A237" s="14">
        <v>45760</v>
      </c>
      <c r="B237" s="15">
        <v>236</v>
      </c>
      <c r="C237" t="s" s="16">
        <v>296</v>
      </c>
      <c r="D237" s="17"/>
      <c r="E237" s="17"/>
      <c r="F237" t="str" s="18" cm="1">
        <f t="array" ref="F237">_xlfn.TEXTJOIN(" ",1,C237,D237,E237)</f>
        <v>PRAMOD PUNYAPAWAR</v>
      </c>
      <c r="G237" t="s" s="19">
        <v>9</v>
      </c>
      <c r="H237" s="20">
        <v>1500</v>
      </c>
      <c r="I237" s="20">
        <v>4.4</v>
      </c>
      <c r="J237" s="20">
        <v>1500</v>
      </c>
      <c r="K237" t="s" s="19">
        <v>298</v>
      </c>
      <c r="L237" t="s" s="19">
        <v>42</v>
      </c>
      <c r="M237" t="str" s="18" cm="1">
        <f t="array" ref="M237">IF(F237="CASH SALE",K237,F237)</f>
        <v>PRAMOD PUNYAPAWAR</v>
      </c>
    </row>
    <row r="238" ht="22.8" customHeight="1">
      <c r="A238" s="14">
        <v>45760</v>
      </c>
      <c r="B238" s="15">
        <v>237</v>
      </c>
      <c r="C238" t="s" s="16">
        <v>289</v>
      </c>
      <c r="D238" s="17"/>
      <c r="E238" s="17"/>
      <c r="F238" t="str" s="18" cm="1">
        <f t="array" ref="F238">_xlfn.TEXTJOIN(" ",1,C238,D238,E238)</f>
        <v>WADKAR SAHEB</v>
      </c>
      <c r="G238" t="s" s="19">
        <v>9</v>
      </c>
      <c r="H238" s="20">
        <v>1500</v>
      </c>
      <c r="I238" s="20">
        <v>4.7</v>
      </c>
      <c r="J238" s="20">
        <v>1500</v>
      </c>
      <c r="K238" t="s" s="19">
        <v>173</v>
      </c>
      <c r="L238" t="s" s="19">
        <v>30</v>
      </c>
      <c r="M238" t="str" s="18" cm="1">
        <f t="array" ref="M238">IF(F238="CASH SALE",K238,F238)</f>
        <v>WADKAR SAHEB</v>
      </c>
    </row>
    <row r="239" ht="22.8" customHeight="1">
      <c r="A239" s="14">
        <v>45760</v>
      </c>
      <c r="B239" s="15">
        <v>238</v>
      </c>
      <c r="C239" t="s" s="16">
        <v>163</v>
      </c>
      <c r="D239" s="17"/>
      <c r="E239" s="17"/>
      <c r="F239" t="str" s="18" cm="1">
        <f t="array" ref="F239">_xlfn.TEXTJOIN(" ",1,C239,D239,E239)</f>
        <v>KISHOR AATRAM</v>
      </c>
      <c r="G239" t="s" s="19">
        <v>9</v>
      </c>
      <c r="H239" s="20">
        <v>1500</v>
      </c>
      <c r="I239" s="20">
        <v>4.4</v>
      </c>
      <c r="J239" s="20">
        <v>1500</v>
      </c>
      <c r="K239" t="s" s="19">
        <v>104</v>
      </c>
      <c r="L239" t="s" s="19">
        <v>30</v>
      </c>
      <c r="M239" t="str" s="18" cm="1">
        <f t="array" ref="M239">IF(F239="CASH SALE",K239,F239)</f>
        <v>KISHOR AATRAM</v>
      </c>
    </row>
    <row r="240" ht="22.8" customHeight="1">
      <c r="A240" s="14">
        <v>45760</v>
      </c>
      <c r="B240" s="15">
        <v>239</v>
      </c>
      <c r="C240" t="s" s="16">
        <v>72</v>
      </c>
      <c r="D240" s="17"/>
      <c r="E240" s="17"/>
      <c r="F240" t="str" s="18" cm="1">
        <f t="array" ref="F240">_xlfn.TEXTJOIN(" ",1,C240,D240,E240)</f>
        <v>SANTOSH PUNYAPAWAR</v>
      </c>
      <c r="G240" t="s" s="19">
        <v>9</v>
      </c>
      <c r="H240" s="20">
        <v>1500</v>
      </c>
      <c r="I240" s="20">
        <v>4.4</v>
      </c>
      <c r="J240" s="20">
        <v>1500</v>
      </c>
      <c r="K240" t="s" s="19">
        <v>57</v>
      </c>
      <c r="L240" t="s" s="19">
        <v>35</v>
      </c>
      <c r="M240" t="str" s="18" cm="1">
        <f t="array" ref="M240">IF(F240="CASH SALE",K240,F240)</f>
        <v>SANTOSH PUNYAPAWAR</v>
      </c>
    </row>
    <row r="241" ht="22.8" customHeight="1">
      <c r="A241" s="14">
        <v>45761</v>
      </c>
      <c r="B241" s="15">
        <v>240</v>
      </c>
      <c r="C241" t="s" s="16">
        <v>345</v>
      </c>
      <c r="D241" s="17"/>
      <c r="E241" s="17"/>
      <c r="F241" t="str" s="18" cm="1">
        <f t="array" ref="F241">_xlfn.TEXTJOIN(" ",1,C241,D241,E241)</f>
        <v>PRADIP MASIRKAR</v>
      </c>
      <c r="G241" t="s" s="19">
        <v>9</v>
      </c>
      <c r="H241" s="20">
        <v>4000</v>
      </c>
      <c r="I241" s="20">
        <v>5.75</v>
      </c>
      <c r="J241" s="20">
        <v>4000</v>
      </c>
      <c r="K241" t="s" s="19">
        <v>347</v>
      </c>
      <c r="L241" t="s" s="19">
        <v>21</v>
      </c>
      <c r="M241" t="str" s="18" cm="1">
        <f t="array" ref="M241">IF(F241="CASH SALE",K241,F241)</f>
        <v>PRADIP MASIRKAR</v>
      </c>
    </row>
    <row r="242" ht="22.8" customHeight="1">
      <c r="A242" s="14">
        <v>45761</v>
      </c>
      <c r="B242" s="15">
        <v>241</v>
      </c>
      <c r="C242" t="s" s="16">
        <v>7</v>
      </c>
      <c r="D242" s="17"/>
      <c r="E242" s="17"/>
      <c r="F242" t="str" s="18" cm="1">
        <f t="array" ref="F242">_xlfn.TEXTJOIN(" ",1,C242,D242,E242)</f>
        <v>CASH SALE</v>
      </c>
      <c r="G242" t="s" s="19">
        <v>9</v>
      </c>
      <c r="H242" s="20">
        <v>4000</v>
      </c>
      <c r="I242" s="20">
        <v>5.63</v>
      </c>
      <c r="J242" s="20">
        <v>4000</v>
      </c>
      <c r="K242" t="s" s="19">
        <v>348</v>
      </c>
      <c r="L242" t="s" s="19">
        <v>21</v>
      </c>
      <c r="M242" t="str" s="18" cm="1">
        <f t="array" ref="M242">IF(F242="CASH SALE",K242,F242)</f>
        <v>SANGITA SA</v>
      </c>
    </row>
    <row r="243" ht="22.8" customHeight="1">
      <c r="A243" s="14">
        <v>45761</v>
      </c>
      <c r="B243" s="15">
        <v>242</v>
      </c>
      <c r="C243" t="s" s="16">
        <v>7</v>
      </c>
      <c r="D243" s="17"/>
      <c r="E243" s="17"/>
      <c r="F243" t="str" s="18" cm="1">
        <f t="array" ref="F243">_xlfn.TEXTJOIN(" ",1,C243,D243,E243)</f>
        <v>CASH SALE</v>
      </c>
      <c r="G243" t="s" s="19">
        <v>9</v>
      </c>
      <c r="H243" s="20">
        <v>4000</v>
      </c>
      <c r="I243" s="20">
        <v>5.75</v>
      </c>
      <c r="J243" s="20">
        <v>4000</v>
      </c>
      <c r="K243" t="s" s="19">
        <v>350</v>
      </c>
      <c r="L243" t="s" s="19">
        <v>16</v>
      </c>
      <c r="M243" t="str" s="18" cm="1">
        <f t="array" ref="M243">IF(F243="CASH SALE",K243,F243)</f>
        <v>JAGAN THEK</v>
      </c>
    </row>
    <row r="244" ht="22.8" customHeight="1">
      <c r="A244" s="14">
        <v>45761</v>
      </c>
      <c r="B244" s="15">
        <v>244</v>
      </c>
      <c r="C244" t="s" s="16">
        <v>7</v>
      </c>
      <c r="D244" s="17"/>
      <c r="E244" s="17"/>
      <c r="F244" t="str" s="18" cm="1">
        <f t="array" ref="F244">_xlfn.TEXTJOIN(" ",1,C244,D244,E244)</f>
        <v>CASH SALE</v>
      </c>
      <c r="G244" t="s" s="19">
        <v>9</v>
      </c>
      <c r="H244" s="20">
        <v>2500</v>
      </c>
      <c r="I244" s="20">
        <v>6.25</v>
      </c>
      <c r="J244" s="20">
        <v>2500</v>
      </c>
      <c r="K244" t="s" s="19">
        <v>352</v>
      </c>
      <c r="L244" t="s" s="19">
        <v>11</v>
      </c>
      <c r="M244" t="str" s="18" cm="1">
        <f t="array" ref="M244">IF(F244="CASH SALE",K244,F244)</f>
        <v>SANKET PAW</v>
      </c>
    </row>
    <row r="245" ht="22.8" customHeight="1">
      <c r="A245" s="14">
        <v>45761</v>
      </c>
      <c r="B245" s="15">
        <v>245</v>
      </c>
      <c r="C245" t="s" s="16">
        <v>7</v>
      </c>
      <c r="D245" s="17"/>
      <c r="E245" s="17"/>
      <c r="F245" t="str" s="18" cm="1">
        <f t="array" ref="F245">_xlfn.TEXTJOIN(" ",1,C245,D245,E245)</f>
        <v>CASH SALE</v>
      </c>
      <c r="G245" t="s" s="19">
        <v>9</v>
      </c>
      <c r="H245" s="20">
        <v>2500</v>
      </c>
      <c r="I245" s="20">
        <v>5.25</v>
      </c>
      <c r="J245" s="20">
        <v>2500</v>
      </c>
      <c r="K245" t="s" s="19">
        <v>303</v>
      </c>
      <c r="L245" t="s" s="19">
        <v>11</v>
      </c>
      <c r="M245" t="str" s="18" cm="1">
        <f t="array" ref="M245">IF(F245="CASH SALE",K245,F245)</f>
        <v>GANESH WAD</v>
      </c>
    </row>
    <row r="246" ht="22.8" customHeight="1">
      <c r="A246" s="14">
        <v>45761</v>
      </c>
      <c r="B246" s="15">
        <v>246</v>
      </c>
      <c r="C246" t="s" s="16">
        <v>354</v>
      </c>
      <c r="D246" s="17"/>
      <c r="E246" s="17"/>
      <c r="F246" t="str" s="18" cm="1">
        <f t="array" ref="F246">_xlfn.TEXTJOIN(" ",1,C246,D246,E246)</f>
        <v>GAJANAN DHOLE</v>
      </c>
      <c r="G246" t="s" s="19">
        <v>9</v>
      </c>
      <c r="H246" s="20">
        <v>3000</v>
      </c>
      <c r="I246" s="20">
        <v>5.75</v>
      </c>
      <c r="J246" s="20">
        <v>3000</v>
      </c>
      <c r="K246" t="s" s="19">
        <v>356</v>
      </c>
      <c r="L246" t="s" s="19">
        <v>27</v>
      </c>
      <c r="M246" t="str" s="18" cm="1">
        <f t="array" ref="M246">IF(F246="CASH SALE",K246,F246)</f>
        <v>GAJANAN DHOLE</v>
      </c>
    </row>
    <row r="247" ht="22.8" customHeight="1">
      <c r="A247" s="14">
        <v>45761</v>
      </c>
      <c r="B247" s="15">
        <v>247</v>
      </c>
      <c r="C247" t="s" s="16">
        <v>7</v>
      </c>
      <c r="D247" s="17"/>
      <c r="E247" s="17"/>
      <c r="F247" t="str" s="18" cm="1">
        <f t="array" ref="F247">_xlfn.TEXTJOIN(" ",1,C247,D247,E247)</f>
        <v>CASH SALE</v>
      </c>
      <c r="G247" t="s" s="19">
        <v>9</v>
      </c>
      <c r="H247" s="20">
        <v>3000</v>
      </c>
      <c r="I247" s="20">
        <v>5.5</v>
      </c>
      <c r="J247" s="20">
        <v>3000</v>
      </c>
      <c r="K247" t="s" s="19">
        <v>357</v>
      </c>
      <c r="L247" t="s" s="19">
        <v>27</v>
      </c>
      <c r="M247" t="str" s="18" cm="1">
        <f t="array" ref="M247">IF(F247="CASH SALE",K247,F247)</f>
        <v>BHARAT TOD</v>
      </c>
    </row>
    <row r="248" ht="22.8" customHeight="1">
      <c r="A248" s="14">
        <v>45761</v>
      </c>
      <c r="B248" s="15">
        <v>248</v>
      </c>
      <c r="C248" t="s" s="16">
        <v>142</v>
      </c>
      <c r="D248" s="17"/>
      <c r="E248" s="17"/>
      <c r="F248" t="str" s="18" cm="1">
        <f t="array" ref="F248">_xlfn.TEXTJOIN(" ",1,C248,D248,E248)</f>
        <v>RAJU YADAO</v>
      </c>
      <c r="G248" t="s" s="19">
        <v>9</v>
      </c>
      <c r="H248" s="20">
        <v>1500</v>
      </c>
      <c r="I248" s="20">
        <v>4.6</v>
      </c>
      <c r="J248" s="20">
        <v>1500</v>
      </c>
      <c r="K248" t="s" s="19">
        <v>260</v>
      </c>
      <c r="L248" t="s" s="19">
        <v>35</v>
      </c>
      <c r="M248" t="str" s="18" cm="1">
        <f t="array" ref="M248">IF(F248="CASH SALE",K248,F248)</f>
        <v>RAJU YADAO</v>
      </c>
    </row>
    <row r="249" ht="22.8" customHeight="1">
      <c r="A249" s="14">
        <v>45761</v>
      </c>
      <c r="B249" s="15">
        <v>249</v>
      </c>
      <c r="C249" t="s" s="16">
        <v>359</v>
      </c>
      <c r="D249" s="17"/>
      <c r="E249" s="17"/>
      <c r="F249" t="str" s="18" cm="1">
        <f t="array" ref="F249">_xlfn.TEXTJOIN(" ",1,C249,D249,E249)</f>
        <v>KEWAL THEKEDAR</v>
      </c>
      <c r="G249" t="s" s="19">
        <v>9</v>
      </c>
      <c r="H249" s="20">
        <v>1500</v>
      </c>
      <c r="I249" s="20">
        <v>4.5</v>
      </c>
      <c r="J249" s="20">
        <v>1500</v>
      </c>
      <c r="K249" t="s" s="19">
        <v>361</v>
      </c>
      <c r="L249" t="s" s="19">
        <v>35</v>
      </c>
      <c r="M249" t="str" s="18" cm="1">
        <f t="array" ref="M249">IF(F249="CASH SALE",K249,F249)</f>
        <v>KEWAL THEKEDAR</v>
      </c>
    </row>
    <row r="250" ht="22.8" customHeight="1">
      <c r="A250" s="14">
        <v>45761</v>
      </c>
      <c r="B250" s="15">
        <v>250</v>
      </c>
      <c r="C250" t="s" s="16">
        <v>362</v>
      </c>
      <c r="D250" s="17"/>
      <c r="E250" s="17"/>
      <c r="F250" t="str" s="18" cm="1">
        <f t="array" ref="F250">_xlfn.TEXTJOIN(" ",1,C250,D250,E250)</f>
        <v>ROSHAN HASANI</v>
      </c>
      <c r="G250" t="s" s="19">
        <v>9</v>
      </c>
      <c r="H250" s="20">
        <v>1500</v>
      </c>
      <c r="I250" s="20">
        <v>4.5</v>
      </c>
      <c r="J250" s="20">
        <v>1500</v>
      </c>
      <c r="K250" t="s" s="19">
        <v>238</v>
      </c>
      <c r="L250" t="s" s="19">
        <v>30</v>
      </c>
      <c r="M250" t="str" s="18" cm="1">
        <f t="array" ref="M250">IF(F250="CASH SALE",K250,F250)</f>
        <v>ROSHAN HASANI</v>
      </c>
    </row>
    <row r="251" ht="22.8" customHeight="1">
      <c r="A251" s="14">
        <v>45761</v>
      </c>
      <c r="B251" s="15">
        <v>251</v>
      </c>
      <c r="C251" t="s" s="16">
        <v>307</v>
      </c>
      <c r="D251" s="17"/>
      <c r="E251" s="17"/>
      <c r="F251" t="str" s="18" cm="1">
        <f t="array" ref="F251">_xlfn.TEXTJOIN(" ",1,C251,D251,E251)</f>
        <v>RAVINDRA OHOD</v>
      </c>
      <c r="G251" t="s" s="19">
        <v>9</v>
      </c>
      <c r="H251" s="20">
        <v>1500</v>
      </c>
      <c r="I251" s="20">
        <v>4.7</v>
      </c>
      <c r="J251" s="20">
        <v>1500</v>
      </c>
      <c r="K251" t="s" s="19">
        <v>38</v>
      </c>
      <c r="L251" t="s" s="19">
        <v>30</v>
      </c>
      <c r="M251" t="str" s="18" cm="1">
        <f t="array" ref="M251">IF(F251="CASH SALE",K251,F251)</f>
        <v>RAVINDRA OHOD</v>
      </c>
    </row>
    <row r="252" ht="22.8" customHeight="1">
      <c r="A252" s="14">
        <v>45761</v>
      </c>
      <c r="B252" s="15">
        <v>252</v>
      </c>
      <c r="C252" t="s" s="16">
        <v>364</v>
      </c>
      <c r="D252" s="17"/>
      <c r="E252" s="17"/>
      <c r="F252" t="str" s="18" cm="1">
        <f t="array" ref="F252">_xlfn.TEXTJOIN(" ",1,C252,D252,E252)</f>
        <v>SANDIP TURKIYAL</v>
      </c>
      <c r="G252" t="s" s="19">
        <v>9</v>
      </c>
      <c r="H252" s="20">
        <v>1500</v>
      </c>
      <c r="I252" s="20">
        <v>4.6</v>
      </c>
      <c r="J252" s="20">
        <v>1500</v>
      </c>
      <c r="K252" t="s" s="19">
        <v>366</v>
      </c>
      <c r="L252" t="s" s="19">
        <v>30</v>
      </c>
      <c r="M252" t="str" s="18" cm="1">
        <f t="array" ref="M252">IF(F252="CASH SALE",K252,F252)</f>
        <v>SANDIP TURKIYAL</v>
      </c>
    </row>
    <row r="253" ht="22.8" customHeight="1">
      <c r="A253" s="14">
        <v>45761</v>
      </c>
      <c r="B253" s="15">
        <v>253</v>
      </c>
      <c r="C253" t="s" s="16">
        <v>289</v>
      </c>
      <c r="D253" s="17"/>
      <c r="E253" s="17"/>
      <c r="F253" t="str" s="18" cm="1">
        <f t="array" ref="F253">_xlfn.TEXTJOIN(" ",1,C253,D253,E253)</f>
        <v>WADKAR SAHEB</v>
      </c>
      <c r="G253" t="s" s="19">
        <v>9</v>
      </c>
      <c r="H253" s="20">
        <v>1500</v>
      </c>
      <c r="I253" s="20">
        <v>4.7</v>
      </c>
      <c r="J253" s="20">
        <v>1500</v>
      </c>
      <c r="K253" t="s" s="19">
        <v>173</v>
      </c>
      <c r="L253" t="s" s="19">
        <v>35</v>
      </c>
      <c r="M253" t="str" s="18" cm="1">
        <f t="array" ref="M253">IF(F253="CASH SALE",K253,F253)</f>
        <v>WADKAR SAHEB</v>
      </c>
    </row>
    <row r="254" ht="22.8" customHeight="1">
      <c r="A254" s="14">
        <v>45761</v>
      </c>
      <c r="B254" s="15">
        <v>254</v>
      </c>
      <c r="C254" t="s" s="16">
        <v>7</v>
      </c>
      <c r="D254" s="17"/>
      <c r="E254" s="17"/>
      <c r="F254" t="str" s="18" cm="1">
        <f t="array" ref="F254">_xlfn.TEXTJOIN(" ",1,C254,D254,E254)</f>
        <v>CASH SALE</v>
      </c>
      <c r="G254" t="s" s="19">
        <v>9</v>
      </c>
      <c r="H254" s="20">
        <v>1500</v>
      </c>
      <c r="I254" s="20">
        <v>4.73</v>
      </c>
      <c r="J254" s="20">
        <v>1500</v>
      </c>
      <c r="K254" t="s" s="19">
        <v>151</v>
      </c>
      <c r="L254" t="s" s="19">
        <v>30</v>
      </c>
      <c r="M254" t="str" s="18" cm="1">
        <f t="array" ref="M254">IF(F254="CASH SALE",K254,F254)</f>
        <v>SANJAY BHO</v>
      </c>
    </row>
    <row r="255" ht="22.8" customHeight="1">
      <c r="A255" s="14">
        <v>45761</v>
      </c>
      <c r="B255" s="15">
        <v>255</v>
      </c>
      <c r="C255" t="s" s="16">
        <v>7</v>
      </c>
      <c r="D255" s="17"/>
      <c r="E255" s="17"/>
      <c r="F255" t="str" s="18" cm="1">
        <f t="array" ref="F255">_xlfn.TEXTJOIN(" ",1,C255,D255,E255)</f>
        <v>CASH SALE</v>
      </c>
      <c r="G255" t="s" s="19">
        <v>9</v>
      </c>
      <c r="H255" s="20">
        <v>1500</v>
      </c>
      <c r="I255" s="20">
        <v>4.5</v>
      </c>
      <c r="J255" s="20">
        <v>1500</v>
      </c>
      <c r="K255" t="s" s="19">
        <v>138</v>
      </c>
      <c r="L255" t="s" s="19">
        <v>35</v>
      </c>
      <c r="M255" t="str" s="18" cm="1">
        <f t="array" ref="M255">IF(F255="CASH SALE",K255,F255)</f>
        <v>SAURABHA A</v>
      </c>
    </row>
    <row r="256" ht="22.8" customHeight="1">
      <c r="A256" s="14">
        <v>45761</v>
      </c>
      <c r="B256" s="15">
        <v>243</v>
      </c>
      <c r="C256" t="s" s="16">
        <v>367</v>
      </c>
      <c r="D256" s="17"/>
      <c r="E256" s="17"/>
      <c r="F256" t="str" s="18" cm="1">
        <f t="array" ref="F256">_xlfn.TEXTJOIN(" ",1,C256,D256,E256)</f>
        <v>DEVANAND THEKEDAR</v>
      </c>
      <c r="G256" t="s" s="19">
        <v>9</v>
      </c>
      <c r="H256" s="20">
        <v>4000</v>
      </c>
      <c r="I256" s="20">
        <v>5.5</v>
      </c>
      <c r="J256" s="20">
        <v>4000</v>
      </c>
      <c r="K256" t="s" s="19">
        <v>369</v>
      </c>
      <c r="L256" t="s" s="19">
        <v>16</v>
      </c>
      <c r="M256" t="str" s="18" cm="1">
        <f t="array" ref="M256">IF(F256="CASH SALE",K256,F256)</f>
        <v>DEVANAND THEKEDAR</v>
      </c>
    </row>
    <row r="257" ht="22.8" customHeight="1">
      <c r="A257" s="14">
        <v>45762</v>
      </c>
      <c r="B257" s="15">
        <v>256</v>
      </c>
      <c r="C257" t="s" s="16">
        <v>7</v>
      </c>
      <c r="D257" s="17"/>
      <c r="E257" s="17"/>
      <c r="F257" t="str" s="18" cm="1">
        <f t="array" ref="F257">_xlfn.TEXTJOIN(" ",1,C257,D257,E257)</f>
        <v>CASH SALE</v>
      </c>
      <c r="G257" t="s" s="19">
        <v>9</v>
      </c>
      <c r="H257" s="20">
        <v>3000</v>
      </c>
      <c r="I257" s="20">
        <v>5.75</v>
      </c>
      <c r="J257" s="20">
        <v>3000</v>
      </c>
      <c r="K257" t="s" s="19">
        <v>370</v>
      </c>
      <c r="L257" t="s" s="19">
        <v>27</v>
      </c>
      <c r="M257" t="str" s="18" cm="1">
        <f t="array" ref="M257">IF(F257="CASH SALE",K257,F257)</f>
        <v>TULSIRAM P</v>
      </c>
    </row>
    <row r="258" ht="22.8" customHeight="1">
      <c r="A258" s="14">
        <v>45762</v>
      </c>
      <c r="B258" s="15">
        <v>257</v>
      </c>
      <c r="C258" t="s" s="16">
        <v>23</v>
      </c>
      <c r="D258" s="17"/>
      <c r="E258" s="17"/>
      <c r="F258" t="str" s="18" cm="1">
        <f t="array" ref="F258">_xlfn.TEXTJOIN(" ",1,C258,D258,E258)</f>
        <v>CANCAL D M</v>
      </c>
      <c r="G258" t="s" s="19">
        <v>25</v>
      </c>
      <c r="H258" s="20">
        <v>1</v>
      </c>
      <c r="I258" s="20">
        <v>1</v>
      </c>
      <c r="J258" s="20">
        <v>1</v>
      </c>
      <c r="K258" s="18"/>
      <c r="L258" s="18"/>
      <c r="M258" t="str" s="18" cm="1">
        <f t="array" ref="M258">IF(F258="CASH SALE",K258,F258)</f>
        <v>CANCAL D M</v>
      </c>
    </row>
    <row r="259" ht="22.8" customHeight="1">
      <c r="A259" s="14">
        <v>45762</v>
      </c>
      <c r="B259" s="15">
        <v>258</v>
      </c>
      <c r="C259" t="s" s="16">
        <v>7</v>
      </c>
      <c r="D259" s="17"/>
      <c r="E259" s="17"/>
      <c r="F259" t="str" s="18" cm="1">
        <f t="array" ref="F259">_xlfn.TEXTJOIN(" ",1,C259,D259,E259)</f>
        <v>CASH SALE</v>
      </c>
      <c r="G259" t="s" s="19">
        <v>9</v>
      </c>
      <c r="H259" s="20">
        <v>2500</v>
      </c>
      <c r="I259" s="20">
        <v>6</v>
      </c>
      <c r="J259" s="20">
        <v>2500</v>
      </c>
      <c r="K259" t="s" s="19">
        <v>372</v>
      </c>
      <c r="L259" t="s" s="19">
        <v>11</v>
      </c>
      <c r="M259" t="str" s="18" cm="1">
        <f t="array" ref="M259">IF(F259="CASH SALE",K259,F259)</f>
        <v>SQ IMRAN</v>
      </c>
    </row>
    <row r="260" ht="22.8" customHeight="1">
      <c r="A260" s="14">
        <v>45762</v>
      </c>
      <c r="B260" s="15">
        <v>259</v>
      </c>
      <c r="C260" t="s" s="16">
        <v>7</v>
      </c>
      <c r="D260" s="17"/>
      <c r="E260" s="17"/>
      <c r="F260" t="str" s="18" cm="1">
        <f t="array" ref="F260">_xlfn.TEXTJOIN(" ",1,C260,D260,E260)</f>
        <v>CASH SALE</v>
      </c>
      <c r="G260" t="s" s="19">
        <v>9</v>
      </c>
      <c r="H260" s="20">
        <v>2500</v>
      </c>
      <c r="I260" s="20">
        <v>5.25</v>
      </c>
      <c r="J260" s="20">
        <v>2500</v>
      </c>
      <c r="K260" t="s" s="19">
        <v>374</v>
      </c>
      <c r="L260" t="s" s="19">
        <v>11</v>
      </c>
      <c r="M260" t="str" s="18" cm="1">
        <f t="array" ref="M260">IF(F260="CASH SALE",K260,F260)</f>
        <v>BORKAR NIM</v>
      </c>
    </row>
    <row r="261" ht="22.8" customHeight="1">
      <c r="A261" s="14">
        <v>45762</v>
      </c>
      <c r="B261" s="15">
        <v>260</v>
      </c>
      <c r="C261" t="s" s="16">
        <v>7</v>
      </c>
      <c r="D261" s="17"/>
      <c r="E261" s="17"/>
      <c r="F261" t="str" s="18" cm="1">
        <f t="array" ref="F261">_xlfn.TEXTJOIN(" ",1,C261,D261,E261)</f>
        <v>CASH SALE</v>
      </c>
      <c r="G261" t="s" s="19">
        <v>9</v>
      </c>
      <c r="H261" s="20">
        <v>4000</v>
      </c>
      <c r="I261" s="20">
        <v>5.5</v>
      </c>
      <c r="J261" s="20">
        <v>4000</v>
      </c>
      <c r="K261" t="s" s="19">
        <v>376</v>
      </c>
      <c r="L261" t="s" s="19">
        <v>21</v>
      </c>
      <c r="M261" t="str" s="18" cm="1">
        <f t="array" ref="M261">IF(F261="CASH SALE",K261,F261)</f>
        <v>ISHWAR AAT</v>
      </c>
    </row>
    <row r="262" ht="22.8" customHeight="1">
      <c r="A262" s="14">
        <v>45762</v>
      </c>
      <c r="B262" s="15">
        <v>261</v>
      </c>
      <c r="C262" t="s" s="16">
        <v>7</v>
      </c>
      <c r="D262" s="17"/>
      <c r="E262" s="17"/>
      <c r="F262" t="str" s="18" cm="1">
        <f t="array" ref="F262">_xlfn.TEXTJOIN(" ",1,C262,D262,E262)</f>
        <v>CASH SALE</v>
      </c>
      <c r="G262" t="s" s="19">
        <v>9</v>
      </c>
      <c r="H262" s="20">
        <v>4000</v>
      </c>
      <c r="I262" s="20">
        <v>5.75</v>
      </c>
      <c r="J262" s="20">
        <v>4000</v>
      </c>
      <c r="K262" t="s" s="19">
        <v>378</v>
      </c>
      <c r="L262" t="s" s="19">
        <v>21</v>
      </c>
      <c r="M262" t="str" s="18" cm="1">
        <f t="array" ref="M262">IF(F262="CASH SALE",K262,F262)</f>
        <v>SHANKAR ME</v>
      </c>
    </row>
    <row r="263" ht="22.8" customHeight="1">
      <c r="A263" s="14">
        <v>45762</v>
      </c>
      <c r="B263" s="15">
        <v>262</v>
      </c>
      <c r="C263" t="s" s="16">
        <v>23</v>
      </c>
      <c r="D263" s="17"/>
      <c r="E263" s="17"/>
      <c r="F263" t="str" s="18" cm="1">
        <f t="array" ref="F263">_xlfn.TEXTJOIN(" ",1,C263,D263,E263)</f>
        <v>CANCAL D M</v>
      </c>
      <c r="G263" t="s" s="19">
        <v>25</v>
      </c>
      <c r="H263" s="20">
        <v>1</v>
      </c>
      <c r="I263" s="20">
        <v>1</v>
      </c>
      <c r="J263" s="20">
        <v>1</v>
      </c>
      <c r="K263" s="18"/>
      <c r="L263" s="18"/>
      <c r="M263" t="str" s="18" cm="1">
        <f t="array" ref="M263">IF(F263="CASH SALE",K263,F263)</f>
        <v>CANCAL D M</v>
      </c>
    </row>
    <row r="264" ht="22.8" customHeight="1">
      <c r="A264" s="14">
        <v>45762</v>
      </c>
      <c r="B264" s="15">
        <v>263</v>
      </c>
      <c r="C264" t="s" s="16">
        <v>7</v>
      </c>
      <c r="D264" s="17"/>
      <c r="E264" s="17"/>
      <c r="F264" t="str" s="18" cm="1">
        <f t="array" ref="F264">_xlfn.TEXTJOIN(" ",1,C264,D264,E264)</f>
        <v>CASH SALE</v>
      </c>
      <c r="G264" t="s" s="19">
        <v>9</v>
      </c>
      <c r="H264" s="20">
        <v>4000</v>
      </c>
      <c r="I264" s="20">
        <v>5.25</v>
      </c>
      <c r="J264" s="20">
        <v>4000</v>
      </c>
      <c r="K264" t="s" s="19">
        <v>189</v>
      </c>
      <c r="L264" t="s" s="19">
        <v>16</v>
      </c>
      <c r="M264" t="str" s="18" cm="1">
        <f t="array" ref="M264">IF(F264="CASH SALE",K264,F264)</f>
        <v>NIKHIL KAR</v>
      </c>
    </row>
    <row r="265" ht="22.8" customHeight="1">
      <c r="A265" s="14">
        <v>45762</v>
      </c>
      <c r="B265" s="15">
        <v>264</v>
      </c>
      <c r="C265" t="s" s="16">
        <v>7</v>
      </c>
      <c r="D265" s="17"/>
      <c r="E265" s="17"/>
      <c r="F265" t="str" s="18" cm="1">
        <f t="array" ref="F265">_xlfn.TEXTJOIN(" ",1,C265,D265,E265)</f>
        <v>CASH SALE</v>
      </c>
      <c r="G265" t="s" s="19">
        <v>9</v>
      </c>
      <c r="H265" s="20">
        <v>1500</v>
      </c>
      <c r="I265" s="20">
        <v>4.8</v>
      </c>
      <c r="J265" s="20">
        <v>1500</v>
      </c>
      <c r="K265" t="s" s="19">
        <v>228</v>
      </c>
      <c r="L265" t="s" s="19">
        <v>42</v>
      </c>
      <c r="M265" t="str" s="18" cm="1">
        <f t="array" ref="M265">IF(F265="CASH SALE",K265,F265)</f>
        <v>ARUN KUMAR</v>
      </c>
    </row>
    <row r="266" ht="22.8" customHeight="1">
      <c r="A266" s="14">
        <v>45762</v>
      </c>
      <c r="B266" s="15">
        <v>265</v>
      </c>
      <c r="C266" t="s" s="16">
        <v>261</v>
      </c>
      <c r="D266" s="17"/>
      <c r="E266" s="17"/>
      <c r="F266" t="str" s="18" cm="1">
        <f t="array" ref="F266">_xlfn.TEXTJOIN(" ",1,C266,D266,E266)</f>
        <v>MAGIC SPLASH &amp; RESOR</v>
      </c>
      <c r="G266" t="s" s="19">
        <v>9</v>
      </c>
      <c r="H266" s="20">
        <v>1500</v>
      </c>
      <c r="I266" s="20">
        <v>4.7</v>
      </c>
      <c r="J266" s="20">
        <v>1500</v>
      </c>
      <c r="K266" t="s" s="19">
        <v>150</v>
      </c>
      <c r="L266" t="s" s="19">
        <v>42</v>
      </c>
      <c r="M266" t="str" s="18" cm="1">
        <f t="array" ref="M266">IF(F266="CASH SALE",K266,F266)</f>
        <v>MAGIC SPLASH &amp; RESOR</v>
      </c>
    </row>
    <row r="267" ht="22.8" customHeight="1">
      <c r="A267" s="14">
        <v>45762</v>
      </c>
      <c r="B267" s="15">
        <v>266</v>
      </c>
      <c r="C267" t="s" s="16">
        <v>23</v>
      </c>
      <c r="D267" s="17"/>
      <c r="E267" s="17"/>
      <c r="F267" t="str" s="18" cm="1">
        <f t="array" ref="F267">_xlfn.TEXTJOIN(" ",1,C267,D267,E267)</f>
        <v>CANCAL D M</v>
      </c>
      <c r="G267" t="s" s="19">
        <v>25</v>
      </c>
      <c r="H267" s="20">
        <v>1</v>
      </c>
      <c r="I267" s="20">
        <v>1</v>
      </c>
      <c r="J267" s="20">
        <v>1</v>
      </c>
      <c r="K267" s="18"/>
      <c r="L267" s="18"/>
      <c r="M267" t="str" s="18" cm="1">
        <f t="array" ref="M267">IF(F267="CASH SALE",K267,F267)</f>
        <v>CANCAL D M</v>
      </c>
    </row>
    <row r="268" ht="22.8" customHeight="1">
      <c r="A268" s="14">
        <v>45762</v>
      </c>
      <c r="B268" s="15">
        <v>267</v>
      </c>
      <c r="C268" t="s" s="16">
        <v>23</v>
      </c>
      <c r="D268" s="17"/>
      <c r="E268" s="17"/>
      <c r="F268" t="str" s="18" cm="1">
        <f t="array" ref="F268">_xlfn.TEXTJOIN(" ",1,C268,D268,E268)</f>
        <v>CANCAL D M</v>
      </c>
      <c r="G268" t="s" s="19">
        <v>25</v>
      </c>
      <c r="H268" s="20">
        <v>1</v>
      </c>
      <c r="I268" s="20">
        <v>1</v>
      </c>
      <c r="J268" s="20">
        <v>1</v>
      </c>
      <c r="K268" s="18"/>
      <c r="L268" s="18"/>
      <c r="M268" t="str" s="18" cm="1">
        <f t="array" ref="M268">IF(F268="CASH SALE",K268,F268)</f>
        <v>CANCAL D M</v>
      </c>
    </row>
    <row r="269" ht="22.8" customHeight="1">
      <c r="A269" s="14">
        <v>45762</v>
      </c>
      <c r="B269" s="15">
        <v>268</v>
      </c>
      <c r="C269" t="s" s="16">
        <v>23</v>
      </c>
      <c r="D269" s="17"/>
      <c r="E269" s="17"/>
      <c r="F269" t="str" s="18" cm="1">
        <f t="array" ref="F269">_xlfn.TEXTJOIN(" ",1,C269,D269,E269)</f>
        <v>CANCAL D M</v>
      </c>
      <c r="G269" t="s" s="19">
        <v>25</v>
      </c>
      <c r="H269" s="20">
        <v>1</v>
      </c>
      <c r="I269" s="20">
        <v>1</v>
      </c>
      <c r="J269" s="20">
        <v>1</v>
      </c>
      <c r="K269" s="18"/>
      <c r="L269" s="18"/>
      <c r="M269" t="str" s="18" cm="1">
        <f t="array" ref="M269">IF(F269="CASH SALE",K269,F269)</f>
        <v>CANCAL D M</v>
      </c>
    </row>
    <row r="270" ht="22.8" customHeight="1">
      <c r="A270" s="14">
        <v>45762</v>
      </c>
      <c r="B270" s="15">
        <v>269</v>
      </c>
      <c r="C270" t="s" s="16">
        <v>96</v>
      </c>
      <c r="D270" s="17"/>
      <c r="E270" s="17"/>
      <c r="F270" t="str" s="18" cm="1">
        <f t="array" ref="F270">_xlfn.TEXTJOIN(" ",1,C270,D270,E270)</f>
        <v>MOHAN NAMANWAR</v>
      </c>
      <c r="G270" t="s" s="19">
        <v>9</v>
      </c>
      <c r="H270" s="20">
        <v>1500</v>
      </c>
      <c r="I270" s="20">
        <v>5</v>
      </c>
      <c r="J270" s="20">
        <v>1500</v>
      </c>
      <c r="K270" t="s" s="19">
        <v>253</v>
      </c>
      <c r="L270" t="s" s="19">
        <v>30</v>
      </c>
      <c r="M270" t="str" s="18" cm="1">
        <f t="array" ref="M270">IF(F270="CASH SALE",K270,F270)</f>
        <v>MOHAN NAMANWAR</v>
      </c>
    </row>
    <row r="271" ht="22.8" customHeight="1">
      <c r="A271" s="14">
        <v>45762</v>
      </c>
      <c r="B271" s="15">
        <v>270</v>
      </c>
      <c r="C271" t="s" s="16">
        <v>198</v>
      </c>
      <c r="D271" s="17"/>
      <c r="E271" s="17"/>
      <c r="F271" t="str" s="18" cm="1">
        <f t="array" ref="F271">_xlfn.TEXTJOIN(" ",1,C271,D271,E271)</f>
        <v>RENUKA H W</v>
      </c>
      <c r="G271" t="s" s="19">
        <v>9</v>
      </c>
      <c r="H271" s="20">
        <v>1500</v>
      </c>
      <c r="I271" s="20">
        <v>4.4</v>
      </c>
      <c r="J271" s="20">
        <v>1500</v>
      </c>
      <c r="K271" t="s" s="19">
        <v>104</v>
      </c>
      <c r="L271" t="s" s="19">
        <v>35</v>
      </c>
      <c r="M271" t="str" s="18" cm="1">
        <f t="array" ref="M271">IF(F271="CASH SALE",K271,F271)</f>
        <v>RENUKA H W</v>
      </c>
    </row>
    <row r="272" ht="22.8" customHeight="1">
      <c r="A272" s="14">
        <v>45762</v>
      </c>
      <c r="B272" s="15">
        <v>271</v>
      </c>
      <c r="C272" t="s" s="16">
        <v>289</v>
      </c>
      <c r="D272" s="17"/>
      <c r="E272" s="17"/>
      <c r="F272" t="str" s="18" cm="1">
        <f t="array" ref="F272">_xlfn.TEXTJOIN(" ",1,C272,D272,E272)</f>
        <v>WADKAR SAHEB</v>
      </c>
      <c r="G272" t="s" s="19">
        <v>9</v>
      </c>
      <c r="H272" s="20">
        <v>1500</v>
      </c>
      <c r="I272" s="20">
        <v>4.7</v>
      </c>
      <c r="J272" s="20">
        <v>1500</v>
      </c>
      <c r="K272" t="s" s="19">
        <v>173</v>
      </c>
      <c r="L272" t="s" s="19">
        <v>30</v>
      </c>
      <c r="M272" t="str" s="18" cm="1">
        <f t="array" ref="M272">IF(F272="CASH SALE",K272,F272)</f>
        <v>WADKAR SAHEB</v>
      </c>
    </row>
    <row r="273" ht="22.8" customHeight="1">
      <c r="A273" s="14">
        <v>45762</v>
      </c>
      <c r="B273" s="15">
        <v>272</v>
      </c>
      <c r="C273" t="s" s="16">
        <v>99</v>
      </c>
      <c r="D273" s="17"/>
      <c r="E273" s="17"/>
      <c r="F273" t="str" s="18" cm="1">
        <f t="array" ref="F273">_xlfn.TEXTJOIN(" ",1,C273,D273,E273)</f>
        <v>GAURAO NANDURKAR</v>
      </c>
      <c r="G273" t="s" s="19">
        <v>9</v>
      </c>
      <c r="H273" s="20">
        <v>1500</v>
      </c>
      <c r="I273" s="20">
        <v>4.5</v>
      </c>
      <c r="J273" s="20">
        <v>1500</v>
      </c>
      <c r="K273" t="s" s="19">
        <v>380</v>
      </c>
      <c r="L273" t="s" s="19">
        <v>35</v>
      </c>
      <c r="M273" t="str" s="18" cm="1">
        <f t="array" ref="M273">IF(F273="CASH SALE",K273,F273)</f>
        <v>GAURAO NANDURKAR</v>
      </c>
    </row>
    <row r="274" ht="22.8" customHeight="1">
      <c r="A274" s="14">
        <v>45762</v>
      </c>
      <c r="B274" s="15">
        <v>273</v>
      </c>
      <c r="C274" t="s" s="16">
        <v>381</v>
      </c>
      <c r="D274" s="17"/>
      <c r="E274" s="17"/>
      <c r="F274" t="str" s="18" cm="1">
        <f t="array" ref="F274">_xlfn.TEXTJOIN(" ",1,C274,D274,E274)</f>
        <v>HARISH POTDUKHE</v>
      </c>
      <c r="G274" t="s" s="19">
        <v>9</v>
      </c>
      <c r="H274" s="20">
        <v>1500</v>
      </c>
      <c r="I274" s="20">
        <v>4.5</v>
      </c>
      <c r="J274" s="20">
        <v>1500</v>
      </c>
      <c r="K274" t="s" s="19">
        <v>383</v>
      </c>
      <c r="L274" t="s" s="19">
        <v>35</v>
      </c>
      <c r="M274" t="str" s="18" cm="1">
        <f t="array" ref="M274">IF(F274="CASH SALE",K274,F274)</f>
        <v>HARISH POTDUKHE</v>
      </c>
    </row>
    <row r="275" ht="22.8" customHeight="1">
      <c r="A275" s="14">
        <v>45762</v>
      </c>
      <c r="B275" s="15">
        <v>274</v>
      </c>
      <c r="C275" t="s" s="16">
        <v>105</v>
      </c>
      <c r="D275" s="17"/>
      <c r="E275" s="17"/>
      <c r="F275" t="str" s="18" cm="1">
        <f t="array" ref="F275">_xlfn.TEXTJOIN(" ",1,C275,D275,E275)</f>
        <v>THAKARE THEKEDAR</v>
      </c>
      <c r="G275" t="s" s="19">
        <v>9</v>
      </c>
      <c r="H275" s="20">
        <v>1500</v>
      </c>
      <c r="I275" s="20">
        <v>4.5</v>
      </c>
      <c r="J275" s="20">
        <v>1500</v>
      </c>
      <c r="K275" t="s" s="19">
        <v>38</v>
      </c>
      <c r="L275" t="s" s="19">
        <v>42</v>
      </c>
      <c r="M275" t="str" s="18" cm="1">
        <f t="array" ref="M275">IF(F275="CASH SALE",K275,F275)</f>
        <v>THAKARE THEKEDAR</v>
      </c>
    </row>
    <row r="276" ht="22.8" customHeight="1">
      <c r="A276" s="14">
        <v>45762</v>
      </c>
      <c r="B276" s="15">
        <v>275</v>
      </c>
      <c r="C276" t="s" s="16">
        <v>256</v>
      </c>
      <c r="D276" s="17"/>
      <c r="E276" s="17"/>
      <c r="F276" t="str" s="18" cm="1">
        <f t="array" ref="F276">_xlfn.TEXTJOIN(" ",1,C276,D276,E276)</f>
        <v>RAGIT BANDHU TRADERS</v>
      </c>
      <c r="G276" t="s" s="19">
        <v>9</v>
      </c>
      <c r="H276" s="20">
        <v>1500</v>
      </c>
      <c r="I276" s="20">
        <v>4.4</v>
      </c>
      <c r="J276" s="20">
        <v>1500</v>
      </c>
      <c r="K276" t="s" s="19">
        <v>150</v>
      </c>
      <c r="L276" t="s" s="19">
        <v>30</v>
      </c>
      <c r="M276" t="str" s="18" cm="1">
        <f t="array" ref="M276">IF(F276="CASH SALE",K276,F276)</f>
        <v>RAGIT BANDHU TRADERS</v>
      </c>
    </row>
    <row r="277" ht="22.8" customHeight="1">
      <c r="A277" s="14">
        <v>45762</v>
      </c>
      <c r="B277" s="15">
        <v>276</v>
      </c>
      <c r="C277" t="s" s="16">
        <v>136</v>
      </c>
      <c r="D277" s="17"/>
      <c r="E277" s="17"/>
      <c r="F277" t="str" s="18" cm="1">
        <f t="array" ref="F277">_xlfn.TEXTJOIN(" ",1,C277,D277,E277)</f>
        <v>AVINASH UADE</v>
      </c>
      <c r="G277" t="s" s="19">
        <v>9</v>
      </c>
      <c r="H277" s="20">
        <v>1500</v>
      </c>
      <c r="I277" s="20">
        <v>4.5</v>
      </c>
      <c r="J277" s="20">
        <v>1500</v>
      </c>
      <c r="K277" t="s" s="19">
        <v>104</v>
      </c>
      <c r="L277" t="s" s="19">
        <v>35</v>
      </c>
      <c r="M277" t="str" s="18" cm="1">
        <f t="array" ref="M277">IF(F277="CASH SALE",K277,F277)</f>
        <v>AVINASH UADE</v>
      </c>
    </row>
    <row r="278" ht="22.8" customHeight="1">
      <c r="A278" s="14">
        <v>45762</v>
      </c>
      <c r="B278" s="15">
        <v>277</v>
      </c>
      <c r="C278" t="s" s="16">
        <v>384</v>
      </c>
      <c r="D278" s="17"/>
      <c r="E278" s="17"/>
      <c r="F278" t="str" s="18" cm="1">
        <f t="array" ref="F278">_xlfn.TEXTJOIN(" ",1,C278,D278,E278)</f>
        <v>PRAVIN BACHALE</v>
      </c>
      <c r="G278" t="s" s="19">
        <v>9</v>
      </c>
      <c r="H278" s="20">
        <v>1500</v>
      </c>
      <c r="I278" s="20">
        <v>4.4</v>
      </c>
      <c r="J278" s="20">
        <v>1500</v>
      </c>
      <c r="K278" t="s" s="19">
        <v>386</v>
      </c>
      <c r="L278" t="s" s="19">
        <v>30</v>
      </c>
      <c r="M278" t="str" s="18" cm="1">
        <f t="array" ref="M278">IF(F278="CASH SALE",K278,F278)</f>
        <v>PRAVIN BACHALE</v>
      </c>
    </row>
    <row r="279" ht="22.8" customHeight="1">
      <c r="A279" s="14">
        <v>45762</v>
      </c>
      <c r="B279" s="15">
        <v>278</v>
      </c>
      <c r="C279" t="s" s="16">
        <v>387</v>
      </c>
      <c r="D279" s="17"/>
      <c r="E279" s="17"/>
      <c r="F279" t="str" s="18" cm="1">
        <f t="array" ref="F279">_xlfn.TEXTJOIN(" ",1,C279,D279,E279)</f>
        <v>CHANDRASHEKHAR ITANK</v>
      </c>
      <c r="G279" t="s" s="19">
        <v>9</v>
      </c>
      <c r="H279" s="20">
        <v>1500</v>
      </c>
      <c r="I279" s="20">
        <v>4.6</v>
      </c>
      <c r="J279" s="20">
        <v>1500</v>
      </c>
      <c r="K279" t="s" s="19">
        <v>204</v>
      </c>
      <c r="L279" t="s" s="19">
        <v>42</v>
      </c>
      <c r="M279" t="str" s="18" cm="1">
        <f t="array" ref="M279">IF(F279="CASH SALE",K279,F279)</f>
        <v>CHANDRASHEKHAR ITANK</v>
      </c>
    </row>
    <row r="280" ht="22.8" customHeight="1">
      <c r="A280" s="14">
        <v>45763</v>
      </c>
      <c r="B280" s="15">
        <v>279</v>
      </c>
      <c r="C280" t="s" s="16">
        <v>7</v>
      </c>
      <c r="D280" s="17"/>
      <c r="E280" s="17"/>
      <c r="F280" t="str" s="18" cm="1">
        <f t="array" ref="F280">_xlfn.TEXTJOIN(" ",1,C280,D280,E280)</f>
        <v>CASH SALE</v>
      </c>
      <c r="G280" t="s" s="19">
        <v>9</v>
      </c>
      <c r="H280" s="20">
        <v>2500</v>
      </c>
      <c r="I280" s="20">
        <v>5.75</v>
      </c>
      <c r="J280" s="20">
        <v>2500</v>
      </c>
      <c r="K280" t="s" s="19">
        <v>389</v>
      </c>
      <c r="L280" t="s" s="19">
        <v>11</v>
      </c>
      <c r="M280" t="str" s="18" cm="1">
        <f t="array" ref="M280">IF(F280="CASH SALE",K280,F280)</f>
        <v>SAINATH PE</v>
      </c>
    </row>
    <row r="281" ht="22.8" customHeight="1">
      <c r="A281" s="14">
        <v>45763</v>
      </c>
      <c r="B281" s="15">
        <v>280</v>
      </c>
      <c r="C281" t="s" s="16">
        <v>7</v>
      </c>
      <c r="D281" s="17"/>
      <c r="E281" s="17"/>
      <c r="F281" t="str" s="18" cm="1">
        <f t="array" ref="F281">_xlfn.TEXTJOIN(" ",1,C281,D281,E281)</f>
        <v>CASH SALE</v>
      </c>
      <c r="G281" t="s" s="19">
        <v>9</v>
      </c>
      <c r="H281" s="20">
        <v>4000</v>
      </c>
      <c r="I281" s="20">
        <v>5.75</v>
      </c>
      <c r="J281" s="20">
        <v>4000</v>
      </c>
      <c r="K281" t="s" s="19">
        <v>159</v>
      </c>
      <c r="L281" t="s" s="19">
        <v>21</v>
      </c>
      <c r="M281" t="str" s="18" cm="1">
        <f t="array" ref="M281">IF(F281="CASH SALE",K281,F281)</f>
        <v>SANDIP TUR</v>
      </c>
    </row>
    <row r="282" ht="22.8" customHeight="1">
      <c r="A282" s="14">
        <v>45763</v>
      </c>
      <c r="B282" s="15">
        <v>281</v>
      </c>
      <c r="C282" t="s" s="16">
        <v>7</v>
      </c>
      <c r="D282" s="17"/>
      <c r="E282" s="17"/>
      <c r="F282" t="str" s="18" cm="1">
        <f t="array" ref="F282">_xlfn.TEXTJOIN(" ",1,C282,D282,E282)</f>
        <v>CASH SALE</v>
      </c>
      <c r="G282" t="s" s="19">
        <v>9</v>
      </c>
      <c r="H282" s="20">
        <v>3000</v>
      </c>
      <c r="I282" s="20">
        <v>6</v>
      </c>
      <c r="J282" s="20">
        <v>3000</v>
      </c>
      <c r="K282" t="s" s="19">
        <v>391</v>
      </c>
      <c r="L282" t="s" s="19">
        <v>27</v>
      </c>
      <c r="M282" t="str" s="18" cm="1">
        <f t="array" ref="M282">IF(F282="CASH SALE",K282,F282)</f>
        <v>PANDIT TIW</v>
      </c>
    </row>
    <row r="283" ht="23.15" customHeight="1">
      <c r="A283" s="22">
        <v>45763</v>
      </c>
      <c r="B283" s="23">
        <v>282</v>
      </c>
      <c r="C283" t="s" s="24">
        <v>7</v>
      </c>
      <c r="D283" s="25"/>
      <c r="E283" s="25"/>
      <c r="F283" t="str" s="26" cm="1">
        <f t="array" ref="F283">_xlfn.TEXTJOIN(" ",1,C283,D283,E283)</f>
        <v>CASH SALE</v>
      </c>
      <c r="G283" t="s" s="27">
        <v>9</v>
      </c>
      <c r="H283" s="28">
        <v>4000</v>
      </c>
      <c r="I283" s="28">
        <v>6</v>
      </c>
      <c r="J283" s="28">
        <v>4000</v>
      </c>
      <c r="K283" t="s" s="27">
        <v>393</v>
      </c>
      <c r="L283" t="s" s="27">
        <v>16</v>
      </c>
      <c r="M283" t="str" s="26" cm="1">
        <f t="array" ref="M283">IF(F283="CASH SALE",K283,F283)</f>
        <v>PAWAN GOKH</v>
      </c>
    </row>
    <row r="284" ht="23.15" customHeight="1">
      <c r="A284" s="7">
        <v>45763</v>
      </c>
      <c r="B284" s="8">
        <v>283</v>
      </c>
      <c r="C284" t="s" s="9">
        <v>307</v>
      </c>
      <c r="D284" s="10"/>
      <c r="E284" s="10"/>
      <c r="F284" t="str" s="11" cm="1">
        <f t="array" ref="F284">_xlfn.TEXTJOIN(" ",1,C284,D284,E284)</f>
        <v>RAVINDRA OHOD</v>
      </c>
      <c r="G284" t="s" s="12">
        <v>9</v>
      </c>
      <c r="H284" s="13">
        <v>1500</v>
      </c>
      <c r="I284" s="13">
        <v>4.7</v>
      </c>
      <c r="J284" s="13">
        <v>1500</v>
      </c>
      <c r="K284" t="s" s="12">
        <v>395</v>
      </c>
      <c r="L284" t="s" s="12">
        <v>30</v>
      </c>
      <c r="M284" t="str" s="11" cm="1">
        <f t="array" ref="M284">IF(F284="CASH SALE",K284,F284)</f>
        <v>RAVINDRA OHOD</v>
      </c>
    </row>
    <row r="285" ht="22.8" customHeight="1">
      <c r="A285" s="14">
        <v>45763</v>
      </c>
      <c r="B285" s="15">
        <v>284</v>
      </c>
      <c r="C285" t="s" s="16">
        <v>7</v>
      </c>
      <c r="D285" s="17"/>
      <c r="E285" s="17"/>
      <c r="F285" t="str" s="18" cm="1">
        <f t="array" ref="F285">_xlfn.TEXTJOIN(" ",1,C285,D285,E285)</f>
        <v>CASH SALE</v>
      </c>
      <c r="G285" t="s" s="19">
        <v>9</v>
      </c>
      <c r="H285" s="20">
        <v>1500</v>
      </c>
      <c r="I285" s="20">
        <v>4.6</v>
      </c>
      <c r="J285" s="20">
        <v>1500</v>
      </c>
      <c r="K285" t="s" s="19">
        <v>396</v>
      </c>
      <c r="L285" t="s" s="19">
        <v>30</v>
      </c>
      <c r="M285" t="str" s="18" cm="1">
        <f t="array" ref="M285">IF(F285="CASH SALE",K285,F285)</f>
        <v>VIJAY MANU</v>
      </c>
    </row>
    <row r="286" ht="22.8" customHeight="1">
      <c r="A286" s="14">
        <v>45763</v>
      </c>
      <c r="B286" s="15">
        <v>286</v>
      </c>
      <c r="C286" t="s" s="16">
        <v>23</v>
      </c>
      <c r="D286" s="17"/>
      <c r="E286" s="17"/>
      <c r="F286" t="str" s="18" cm="1">
        <f t="array" ref="F286">_xlfn.TEXTJOIN(" ",1,C286,D286,E286)</f>
        <v>CANCAL D M</v>
      </c>
      <c r="G286" t="s" s="19">
        <v>25</v>
      </c>
      <c r="H286" s="20">
        <v>1</v>
      </c>
      <c r="I286" s="20">
        <v>1</v>
      </c>
      <c r="J286" s="20">
        <v>1</v>
      </c>
      <c r="K286" s="18"/>
      <c r="L286" s="18"/>
      <c r="M286" t="str" s="18" cm="1">
        <f t="array" ref="M286">IF(F286="CASH SALE",K286,F286)</f>
        <v>CANCAL D M</v>
      </c>
    </row>
    <row r="287" ht="22.8" customHeight="1">
      <c r="A287" s="14">
        <v>45763</v>
      </c>
      <c r="B287" s="15">
        <v>287</v>
      </c>
      <c r="C287" t="s" s="16">
        <v>7</v>
      </c>
      <c r="D287" s="17"/>
      <c r="E287" s="17"/>
      <c r="F287" t="str" s="18" cm="1">
        <f t="array" ref="F287">_xlfn.TEXTJOIN(" ",1,C287,D287,E287)</f>
        <v>CASH SALE</v>
      </c>
      <c r="G287" t="s" s="19">
        <v>9</v>
      </c>
      <c r="H287" s="20">
        <v>1500</v>
      </c>
      <c r="I287" s="20">
        <v>4.6</v>
      </c>
      <c r="J287" s="20">
        <v>1500</v>
      </c>
      <c r="K287" t="s" s="19">
        <v>398</v>
      </c>
      <c r="L287" t="s" s="19">
        <v>35</v>
      </c>
      <c r="M287" t="str" s="18" cm="1">
        <f t="array" ref="M287">IF(F287="CASH SALE",K287,F287)</f>
        <v>PAWANNIKHU</v>
      </c>
    </row>
    <row r="288" ht="22.8" customHeight="1">
      <c r="A288" s="14">
        <v>45763</v>
      </c>
      <c r="B288" s="15">
        <v>288</v>
      </c>
      <c r="C288" t="s" s="16">
        <v>381</v>
      </c>
      <c r="D288" s="17"/>
      <c r="E288" s="17"/>
      <c r="F288" t="str" s="18" cm="1">
        <f t="array" ref="F288">_xlfn.TEXTJOIN(" ",1,C288,D288,E288)</f>
        <v>HARISH POTDUKHE</v>
      </c>
      <c r="G288" t="s" s="19">
        <v>9</v>
      </c>
      <c r="H288" s="20">
        <v>1500</v>
      </c>
      <c r="I288" s="20">
        <v>4.5</v>
      </c>
      <c r="J288" s="20">
        <v>1500</v>
      </c>
      <c r="K288" t="s" s="19">
        <v>383</v>
      </c>
      <c r="L288" t="s" s="19">
        <v>35</v>
      </c>
      <c r="M288" t="str" s="18" cm="1">
        <f t="array" ref="M288">IF(F288="CASH SALE",K288,F288)</f>
        <v>HARISH POTDUKHE</v>
      </c>
    </row>
    <row r="289" ht="22.8" customHeight="1">
      <c r="A289" s="14">
        <v>45763</v>
      </c>
      <c r="B289" s="15">
        <v>289</v>
      </c>
      <c r="C289" t="s" s="16">
        <v>7</v>
      </c>
      <c r="D289" s="17"/>
      <c r="E289" s="17"/>
      <c r="F289" t="str" s="18" cm="1">
        <f t="array" ref="F289">_xlfn.TEXTJOIN(" ",1,C289,D289,E289)</f>
        <v>CASH SALE</v>
      </c>
      <c r="G289" t="s" s="19">
        <v>9</v>
      </c>
      <c r="H289" s="20">
        <v>1500</v>
      </c>
      <c r="I289" s="20">
        <v>4.6</v>
      </c>
      <c r="J289" s="20">
        <v>1500</v>
      </c>
      <c r="K289" t="s" s="19">
        <v>400</v>
      </c>
      <c r="L289" t="s" s="19">
        <v>42</v>
      </c>
      <c r="M289" t="str" s="18" cm="1">
        <f t="array" ref="M289">IF(F289="CASH SALE",K289,F289)</f>
        <v>ITANKAR</v>
      </c>
    </row>
    <row r="290" ht="22.8" customHeight="1">
      <c r="A290" s="14">
        <v>45763</v>
      </c>
      <c r="B290" s="15">
        <v>290</v>
      </c>
      <c r="C290" t="s" s="16">
        <v>402</v>
      </c>
      <c r="D290" s="17"/>
      <c r="E290" s="17"/>
      <c r="F290" t="str" s="18" cm="1">
        <f t="array" ref="F290">_xlfn.TEXTJOIN(" ",1,C290,D290,E290)</f>
        <v>SUKHADEO PADOLI FORM</v>
      </c>
      <c r="G290" t="s" s="19">
        <v>404</v>
      </c>
      <c r="H290" s="20">
        <v>3</v>
      </c>
      <c r="I290" s="20">
        <v>1000</v>
      </c>
      <c r="J290" s="20">
        <v>3</v>
      </c>
      <c r="K290" t="s" s="19">
        <v>405</v>
      </c>
      <c r="L290" t="s" s="19">
        <v>11</v>
      </c>
      <c r="M290" t="str" s="18" cm="1">
        <f t="array" ref="M290">IF(F290="CASH SALE",K290,F290)</f>
        <v>SUKHADEO PADOLI FORM</v>
      </c>
    </row>
    <row r="291" ht="22.8" customHeight="1">
      <c r="A291" s="14">
        <v>45763</v>
      </c>
      <c r="B291" s="15">
        <v>285</v>
      </c>
      <c r="C291" t="s" s="16">
        <v>7</v>
      </c>
      <c r="D291" s="17"/>
      <c r="E291" s="17"/>
      <c r="F291" t="str" s="18" cm="1">
        <f t="array" ref="F291">_xlfn.TEXTJOIN(" ",1,C291,D291,E291)</f>
        <v>CASH SALE</v>
      </c>
      <c r="G291" t="s" s="19">
        <v>9</v>
      </c>
      <c r="H291" s="20">
        <v>1500</v>
      </c>
      <c r="I291" s="20">
        <v>4.8</v>
      </c>
      <c r="J291" s="20">
        <v>1500</v>
      </c>
      <c r="K291" t="s" s="19">
        <v>228</v>
      </c>
      <c r="L291" t="s" s="19">
        <v>42</v>
      </c>
      <c r="M291" t="str" s="18" cm="1">
        <f t="array" ref="M291">IF(F291="CASH SALE",K291,F291)</f>
        <v>ARUN KUMAR</v>
      </c>
    </row>
    <row r="292" ht="22.8" customHeight="1">
      <c r="A292" s="14">
        <v>45764</v>
      </c>
      <c r="B292" s="15">
        <v>291</v>
      </c>
      <c r="C292" t="s" s="16">
        <v>7</v>
      </c>
      <c r="D292" s="17"/>
      <c r="E292" s="17"/>
      <c r="F292" t="str" s="18" cm="1">
        <f t="array" ref="F292">_xlfn.TEXTJOIN(" ",1,C292,D292,E292)</f>
        <v>CASH SALE</v>
      </c>
      <c r="G292" t="s" s="19">
        <v>9</v>
      </c>
      <c r="H292" s="20">
        <v>2500</v>
      </c>
      <c r="I292" s="20">
        <v>6</v>
      </c>
      <c r="J292" s="20">
        <v>2500</v>
      </c>
      <c r="K292" t="s" s="19">
        <v>406</v>
      </c>
      <c r="L292" t="s" s="19">
        <v>11</v>
      </c>
      <c r="M292" t="str" s="18" cm="1">
        <f t="array" ref="M292">IF(F292="CASH SALE",K292,F292)</f>
        <v>ROSHAN ZOD</v>
      </c>
    </row>
    <row r="293" ht="22.8" customHeight="1">
      <c r="A293" s="14">
        <v>45764</v>
      </c>
      <c r="B293" s="15">
        <v>292</v>
      </c>
      <c r="C293" t="s" s="16">
        <v>7</v>
      </c>
      <c r="D293" s="17"/>
      <c r="E293" s="17"/>
      <c r="F293" t="str" s="18" cm="1">
        <f t="array" ref="F293">_xlfn.TEXTJOIN(" ",1,C293,D293,E293)</f>
        <v>CASH SALE</v>
      </c>
      <c r="G293" t="s" s="19">
        <v>9</v>
      </c>
      <c r="H293" s="20">
        <v>2500</v>
      </c>
      <c r="I293" s="20">
        <v>5.5</v>
      </c>
      <c r="J293" s="20">
        <v>2500</v>
      </c>
      <c r="K293" t="s" s="19">
        <v>408</v>
      </c>
      <c r="L293" t="s" s="19">
        <v>11</v>
      </c>
      <c r="M293" t="str" s="18" cm="1">
        <f t="array" ref="M293">IF(F293="CASH SALE",K293,F293)</f>
        <v>ISHWAR PAN</v>
      </c>
    </row>
    <row r="294" ht="22.8" customHeight="1">
      <c r="A294" s="14">
        <v>45764</v>
      </c>
      <c r="B294" s="15">
        <v>293</v>
      </c>
      <c r="C294" t="s" s="16">
        <v>7</v>
      </c>
      <c r="D294" s="17"/>
      <c r="E294" s="17"/>
      <c r="F294" t="str" s="18" cm="1">
        <f t="array" ref="F294">_xlfn.TEXTJOIN(" ",1,C294,D294,E294)</f>
        <v>CASH SALE</v>
      </c>
      <c r="G294" t="s" s="19">
        <v>9</v>
      </c>
      <c r="H294" s="20">
        <v>4000</v>
      </c>
      <c r="I294" s="20">
        <v>5.75</v>
      </c>
      <c r="J294" s="20">
        <v>4000</v>
      </c>
      <c r="K294" t="s" s="19">
        <v>410</v>
      </c>
      <c r="L294" t="s" s="19">
        <v>21</v>
      </c>
      <c r="M294" t="str" s="18" cm="1">
        <f t="array" ref="M294">IF(F294="CASH SALE",K294,F294)</f>
        <v>RAHUL MARS</v>
      </c>
    </row>
    <row r="295" ht="22.8" customHeight="1">
      <c r="A295" s="14">
        <v>45764</v>
      </c>
      <c r="B295" s="15">
        <v>294</v>
      </c>
      <c r="C295" t="s" s="16">
        <v>7</v>
      </c>
      <c r="D295" s="17"/>
      <c r="E295" s="17"/>
      <c r="F295" t="str" s="18" cm="1">
        <f t="array" ref="F295">_xlfn.TEXTJOIN(" ",1,C295,D295,E295)</f>
        <v>CASH SALE</v>
      </c>
      <c r="G295" t="s" s="19">
        <v>9</v>
      </c>
      <c r="H295" s="20">
        <v>4000</v>
      </c>
      <c r="I295" s="20">
        <v>5.5</v>
      </c>
      <c r="J295" s="20">
        <v>4000</v>
      </c>
      <c r="K295" t="s" s="19">
        <v>412</v>
      </c>
      <c r="L295" t="s" s="19">
        <v>21</v>
      </c>
      <c r="M295" t="str" s="18" cm="1">
        <f t="array" ref="M295">IF(F295="CASH SALE",K295,F295)</f>
        <v>VILAS KATK</v>
      </c>
    </row>
    <row r="296" ht="22.8" customHeight="1">
      <c r="A296" s="14">
        <v>45764</v>
      </c>
      <c r="B296" s="15">
        <v>295</v>
      </c>
      <c r="C296" t="s" s="16">
        <v>7</v>
      </c>
      <c r="D296" s="17"/>
      <c r="E296" s="17"/>
      <c r="F296" t="str" s="18" cm="1">
        <f t="array" ref="F296">_xlfn.TEXTJOIN(" ",1,C296,D296,E296)</f>
        <v>CASH SALE</v>
      </c>
      <c r="G296" t="s" s="19">
        <v>9</v>
      </c>
      <c r="H296" s="20">
        <v>4000</v>
      </c>
      <c r="I296" s="20">
        <v>6</v>
      </c>
      <c r="J296" s="20">
        <v>4000</v>
      </c>
      <c r="K296" t="s" s="19">
        <v>414</v>
      </c>
      <c r="L296" t="s" s="19">
        <v>16</v>
      </c>
      <c r="M296" t="str" s="18" cm="1">
        <f t="array" ref="M296">IF(F296="CASH SALE",K296,F296)</f>
        <v>MORESHWAR</v>
      </c>
    </row>
    <row r="297" ht="22.8" customHeight="1">
      <c r="A297" s="14">
        <v>45764</v>
      </c>
      <c r="B297" s="15">
        <v>296</v>
      </c>
      <c r="C297" t="s" s="16">
        <v>7</v>
      </c>
      <c r="D297" s="17"/>
      <c r="E297" s="17"/>
      <c r="F297" t="str" s="18" cm="1">
        <f t="array" ref="F297">_xlfn.TEXTJOIN(" ",1,C297,D297,E297)</f>
        <v>CASH SALE</v>
      </c>
      <c r="G297" t="s" s="19">
        <v>9</v>
      </c>
      <c r="H297" s="20">
        <v>4000</v>
      </c>
      <c r="I297" s="20">
        <v>5.5</v>
      </c>
      <c r="J297" s="20">
        <v>4000</v>
      </c>
      <c r="K297" t="s" s="19">
        <v>331</v>
      </c>
      <c r="L297" t="s" s="19">
        <v>16</v>
      </c>
      <c r="M297" t="str" s="18" cm="1">
        <f t="array" ref="M297">IF(F297="CASH SALE",K297,F297)</f>
        <v>GANESH GOH</v>
      </c>
    </row>
    <row r="298" ht="22.8" customHeight="1">
      <c r="A298" s="14">
        <v>45764</v>
      </c>
      <c r="B298" s="15">
        <v>297</v>
      </c>
      <c r="C298" t="s" s="16">
        <v>416</v>
      </c>
      <c r="D298" s="17"/>
      <c r="E298" s="17"/>
      <c r="F298" t="str" s="18" cm="1">
        <f t="array" ref="F298">_xlfn.TEXTJOIN(" ",1,C298,D298,E298)</f>
        <v>MAHESH SONKULWAR</v>
      </c>
      <c r="G298" t="s" s="19">
        <v>9</v>
      </c>
      <c r="H298" s="20">
        <v>3000</v>
      </c>
      <c r="I298" s="20">
        <v>6.42</v>
      </c>
      <c r="J298" s="20">
        <v>3000</v>
      </c>
      <c r="K298" t="s" s="19">
        <v>418</v>
      </c>
      <c r="L298" t="s" s="19">
        <v>27</v>
      </c>
      <c r="M298" t="str" s="18" cm="1">
        <f t="array" ref="M298">IF(F298="CASH SALE",K298,F298)</f>
        <v>MAHESH SONKULWAR</v>
      </c>
    </row>
    <row r="299" ht="22.8" customHeight="1">
      <c r="A299" s="14">
        <v>45764</v>
      </c>
      <c r="B299" s="15">
        <v>298</v>
      </c>
      <c r="C299" t="s" s="16">
        <v>7</v>
      </c>
      <c r="D299" s="17"/>
      <c r="E299" s="17"/>
      <c r="F299" t="str" s="18" cm="1">
        <f t="array" ref="F299">_xlfn.TEXTJOIN(" ",1,C299,D299,E299)</f>
        <v>CASH SALE</v>
      </c>
      <c r="G299" t="s" s="19">
        <v>9</v>
      </c>
      <c r="H299" s="20">
        <v>3000</v>
      </c>
      <c r="I299" s="20">
        <v>5.25</v>
      </c>
      <c r="J299" s="20">
        <v>3000</v>
      </c>
      <c r="K299" t="s" s="19">
        <v>419</v>
      </c>
      <c r="L299" t="s" s="19">
        <v>27</v>
      </c>
      <c r="M299" t="str" s="18" cm="1">
        <f t="array" ref="M299">IF(F299="CASH SALE",K299,F299)</f>
        <v>AJAY BAVAN</v>
      </c>
    </row>
    <row r="300" ht="22.8" customHeight="1">
      <c r="A300" s="14">
        <v>45764</v>
      </c>
      <c r="B300" s="15">
        <v>299</v>
      </c>
      <c r="C300" t="s" s="16">
        <v>421</v>
      </c>
      <c r="D300" s="17"/>
      <c r="E300" s="17"/>
      <c r="F300" t="str" s="18" cm="1">
        <f t="array" ref="F300">_xlfn.TEXTJOIN(" ",1,C300,D300,E300)</f>
        <v>SURAJ NAGULWAR</v>
      </c>
      <c r="G300" t="s" s="19">
        <v>9</v>
      </c>
      <c r="H300" s="20">
        <v>1500</v>
      </c>
      <c r="I300" s="20">
        <v>4.6</v>
      </c>
      <c r="J300" s="20">
        <v>1500</v>
      </c>
      <c r="K300" t="s" s="19">
        <v>423</v>
      </c>
      <c r="L300" t="s" s="19">
        <v>35</v>
      </c>
      <c r="M300" t="str" s="18" cm="1">
        <f t="array" ref="M300">IF(F300="CASH SALE",K300,F300)</f>
        <v>SURAJ NAGULWAR</v>
      </c>
    </row>
    <row r="301" ht="22.8" customHeight="1">
      <c r="A301" s="14">
        <v>45764</v>
      </c>
      <c r="B301" s="15">
        <v>300</v>
      </c>
      <c r="C301" t="s" s="16">
        <v>424</v>
      </c>
      <c r="D301" s="17"/>
      <c r="E301" s="17"/>
      <c r="F301" t="str" s="18" cm="1">
        <f t="array" ref="F301">_xlfn.TEXTJOIN(" ",1,C301,D301,E301)</f>
        <v>SATYAVIJAY PIMPALKAR</v>
      </c>
      <c r="G301" t="s" s="19">
        <v>9</v>
      </c>
      <c r="H301" s="20">
        <v>1500</v>
      </c>
      <c r="I301" s="20">
        <v>4.5</v>
      </c>
      <c r="J301" s="20">
        <v>1500</v>
      </c>
      <c r="K301" t="s" s="19">
        <v>206</v>
      </c>
      <c r="L301" t="s" s="19">
        <v>35</v>
      </c>
      <c r="M301" t="str" s="18" cm="1">
        <f t="array" ref="M301">IF(F301="CASH SALE",K301,F301)</f>
        <v>SATYAVIJAY PIMPALKAR</v>
      </c>
    </row>
    <row r="302" ht="22.8" customHeight="1">
      <c r="A302" s="14">
        <v>45764</v>
      </c>
      <c r="B302" s="15">
        <v>301</v>
      </c>
      <c r="C302" t="s" s="16">
        <v>293</v>
      </c>
      <c r="D302" s="17"/>
      <c r="E302" s="17"/>
      <c r="F302" t="str" s="18" cm="1">
        <f t="array" ref="F302">_xlfn.TEXTJOIN(" ",1,C302,D302,E302)</f>
        <v>SUNIL VISHWAKARMA</v>
      </c>
      <c r="G302" t="s" s="19">
        <v>9</v>
      </c>
      <c r="H302" s="20">
        <v>1500</v>
      </c>
      <c r="I302" s="20">
        <v>4.6</v>
      </c>
      <c r="J302" s="20">
        <v>1500</v>
      </c>
      <c r="K302" t="s" s="19">
        <v>426</v>
      </c>
      <c r="L302" t="s" s="19">
        <v>30</v>
      </c>
      <c r="M302" t="str" s="18" cm="1">
        <f t="array" ref="M302">IF(F302="CASH SALE",K302,F302)</f>
        <v>SUNIL VISHWAKARMA</v>
      </c>
    </row>
    <row r="303" ht="22.8" customHeight="1">
      <c r="A303" s="14">
        <v>45764</v>
      </c>
      <c r="B303" s="15">
        <v>302</v>
      </c>
      <c r="C303" t="s" s="16">
        <v>39</v>
      </c>
      <c r="D303" s="17"/>
      <c r="E303" s="17"/>
      <c r="F303" t="str" s="18" cm="1">
        <f t="array" ref="F303">_xlfn.TEXTJOIN(" ",1,C303,D303,E303)</f>
        <v>MANISH TAPASE</v>
      </c>
      <c r="G303" t="s" s="19">
        <v>9</v>
      </c>
      <c r="H303" s="20">
        <v>1500</v>
      </c>
      <c r="I303" s="20">
        <v>4.27</v>
      </c>
      <c r="J303" s="20">
        <v>1500</v>
      </c>
      <c r="K303" t="s" s="19">
        <v>38</v>
      </c>
      <c r="L303" t="s" s="19">
        <v>30</v>
      </c>
      <c r="M303" t="str" s="18" cm="1">
        <f t="array" ref="M303">IF(F303="CASH SALE",K303,F303)</f>
        <v>MANISH TAPASE</v>
      </c>
    </row>
    <row r="304" ht="22.8" customHeight="1">
      <c r="A304" s="14">
        <v>45764</v>
      </c>
      <c r="B304" s="15">
        <v>303</v>
      </c>
      <c r="C304" t="s" s="16">
        <v>163</v>
      </c>
      <c r="D304" s="17"/>
      <c r="E304" s="17"/>
      <c r="F304" t="str" s="18" cm="1">
        <f t="array" ref="F304">_xlfn.TEXTJOIN(" ",1,C304,D304,E304)</f>
        <v>KISHOR AATRAM</v>
      </c>
      <c r="G304" t="s" s="19">
        <v>9</v>
      </c>
      <c r="H304" s="20">
        <v>1500</v>
      </c>
      <c r="I304" s="20">
        <v>4.4</v>
      </c>
      <c r="J304" s="20">
        <v>1500</v>
      </c>
      <c r="K304" t="s" s="19">
        <v>104</v>
      </c>
      <c r="L304" t="s" s="19">
        <v>42</v>
      </c>
      <c r="M304" t="str" s="18" cm="1">
        <f t="array" ref="M304">IF(F304="CASH SALE",K304,F304)</f>
        <v>KISHOR AATRAM</v>
      </c>
    </row>
    <row r="305" ht="22.8" customHeight="1">
      <c r="A305" s="14">
        <v>45764</v>
      </c>
      <c r="B305" s="15">
        <v>304</v>
      </c>
      <c r="C305" t="s" s="16">
        <v>427</v>
      </c>
      <c r="D305" s="17"/>
      <c r="E305" s="17"/>
      <c r="F305" t="str" s="18" cm="1">
        <f t="array" ref="F305">_xlfn.TEXTJOIN(" ",1,C305,D305,E305)</f>
        <v>DR. VIJAY URADE</v>
      </c>
      <c r="G305" t="s" s="19">
        <v>9</v>
      </c>
      <c r="H305" s="20">
        <v>1500</v>
      </c>
      <c r="I305" s="20">
        <v>4.4</v>
      </c>
      <c r="J305" s="20">
        <v>1500</v>
      </c>
      <c r="K305" t="s" s="19">
        <v>429</v>
      </c>
      <c r="L305" t="s" s="19">
        <v>42</v>
      </c>
      <c r="M305" t="str" s="18" cm="1">
        <f t="array" ref="M305">IF(F305="CASH SALE",K305,F305)</f>
        <v>DR. VIJAY URADE</v>
      </c>
    </row>
    <row r="306" ht="22.8" customHeight="1">
      <c r="A306" s="14">
        <v>45764</v>
      </c>
      <c r="B306" s="15">
        <v>305</v>
      </c>
      <c r="C306" t="s" s="16">
        <v>271</v>
      </c>
      <c r="D306" s="17"/>
      <c r="E306" s="17"/>
      <c r="F306" t="str" s="18" cm="1">
        <f t="array" ref="F306">_xlfn.TEXTJOIN(" ",1,C306,D306,E306)</f>
        <v>VILAS GOURKAR</v>
      </c>
      <c r="G306" t="s" s="19">
        <v>9</v>
      </c>
      <c r="H306" s="20">
        <v>1500</v>
      </c>
      <c r="I306" s="20">
        <v>4.5</v>
      </c>
      <c r="J306" s="20">
        <v>1500</v>
      </c>
      <c r="K306" t="s" s="19">
        <v>273</v>
      </c>
      <c r="L306" t="s" s="19">
        <v>35</v>
      </c>
      <c r="M306" t="str" s="18" cm="1">
        <f t="array" ref="M306">IF(F306="CASH SALE",K306,F306)</f>
        <v>VILAS GOURKAR</v>
      </c>
    </row>
    <row r="307" ht="22.8" customHeight="1">
      <c r="A307" s="14">
        <v>45764</v>
      </c>
      <c r="B307" s="15">
        <v>306</v>
      </c>
      <c r="C307" t="s" s="16">
        <v>58</v>
      </c>
      <c r="D307" s="17"/>
      <c r="E307" s="17"/>
      <c r="F307" t="str" s="18" cm="1">
        <f t="array" ref="F307">_xlfn.TEXTJOIN(" ",1,C307,D307,E307)</f>
        <v>MAHESH MALIK</v>
      </c>
      <c r="G307" t="s" s="19">
        <v>9</v>
      </c>
      <c r="H307" s="20">
        <v>1500</v>
      </c>
      <c r="I307" s="20">
        <v>4.6</v>
      </c>
      <c r="J307" s="20">
        <v>1500</v>
      </c>
      <c r="K307" t="s" s="19">
        <v>60</v>
      </c>
      <c r="L307" t="s" s="19">
        <v>42</v>
      </c>
      <c r="M307" t="str" s="18" cm="1">
        <f t="array" ref="M307">IF(F307="CASH SALE",K307,F307)</f>
        <v>MAHESH MALIK</v>
      </c>
    </row>
    <row r="308" ht="22.8" customHeight="1">
      <c r="A308" s="14">
        <v>45764</v>
      </c>
      <c r="B308" s="15">
        <v>307</v>
      </c>
      <c r="C308" t="s" s="16">
        <v>256</v>
      </c>
      <c r="D308" s="17"/>
      <c r="E308" s="17"/>
      <c r="F308" t="str" s="18" cm="1">
        <f t="array" ref="F308">_xlfn.TEXTJOIN(" ",1,C308,D308,E308)</f>
        <v>RAGIT BANDHU TRADERS</v>
      </c>
      <c r="G308" t="s" s="19">
        <v>9</v>
      </c>
      <c r="H308" s="20">
        <v>1500</v>
      </c>
      <c r="I308" s="20">
        <v>4.4</v>
      </c>
      <c r="J308" s="20">
        <v>1500</v>
      </c>
      <c r="K308" t="s" s="19">
        <v>150</v>
      </c>
      <c r="L308" t="s" s="19">
        <v>30</v>
      </c>
      <c r="M308" t="str" s="18" cm="1">
        <f t="array" ref="M308">IF(F308="CASH SALE",K308,F308)</f>
        <v>RAGIT BANDHU TRADERS</v>
      </c>
    </row>
    <row r="309" ht="22.8" customHeight="1">
      <c r="A309" s="14">
        <v>45764</v>
      </c>
      <c r="B309" s="15">
        <v>308</v>
      </c>
      <c r="C309" t="s" s="16">
        <v>289</v>
      </c>
      <c r="D309" s="17"/>
      <c r="E309" s="17"/>
      <c r="F309" t="str" s="18" cm="1">
        <f t="array" ref="F309">_xlfn.TEXTJOIN(" ",1,C309,D309,E309)</f>
        <v>WADKAR SAHEB</v>
      </c>
      <c r="G309" t="s" s="19">
        <v>9</v>
      </c>
      <c r="H309" s="20">
        <v>1500</v>
      </c>
      <c r="I309" s="20">
        <v>4.7</v>
      </c>
      <c r="J309" s="20">
        <v>1500</v>
      </c>
      <c r="K309" t="s" s="19">
        <v>173</v>
      </c>
      <c r="L309" t="s" s="19">
        <v>42</v>
      </c>
      <c r="M309" t="str" s="18" cm="1">
        <f t="array" ref="M309">IF(F309="CASH SALE",K309,F309)</f>
        <v>WADKAR SAHEB</v>
      </c>
    </row>
    <row r="310" ht="22.8" customHeight="1">
      <c r="A310" s="14">
        <v>45764</v>
      </c>
      <c r="B310" s="15">
        <v>309</v>
      </c>
      <c r="C310" t="s" s="16">
        <v>7</v>
      </c>
      <c r="D310" s="17"/>
      <c r="E310" s="17"/>
      <c r="F310" t="str" s="18" cm="1">
        <f t="array" ref="F310">_xlfn.TEXTJOIN(" ",1,C310,D310,E310)</f>
        <v>CASH SALE</v>
      </c>
      <c r="G310" t="s" s="19">
        <v>9</v>
      </c>
      <c r="H310" s="20">
        <v>1000</v>
      </c>
      <c r="I310" s="20">
        <v>5</v>
      </c>
      <c r="J310" s="20">
        <v>1000</v>
      </c>
      <c r="K310" t="s" s="19">
        <v>53</v>
      </c>
      <c r="L310" t="s" s="19">
        <v>30</v>
      </c>
      <c r="M310" t="str" s="18" cm="1">
        <f t="array" ref="M310">IF(F310="CASH SALE",K310,F310)</f>
        <v>SWAPNIL SA</v>
      </c>
    </row>
    <row r="311" ht="22.8" customHeight="1">
      <c r="A311" s="14">
        <v>45764</v>
      </c>
      <c r="B311" s="15">
        <v>310</v>
      </c>
      <c r="C311" t="s" s="16">
        <v>296</v>
      </c>
      <c r="D311" s="17"/>
      <c r="E311" s="17"/>
      <c r="F311" t="str" s="18" cm="1">
        <f t="array" ref="F311">_xlfn.TEXTJOIN(" ",1,C311,D311,E311)</f>
        <v>PRAMOD PUNYAPAWAR</v>
      </c>
      <c r="G311" t="s" s="19">
        <v>9</v>
      </c>
      <c r="H311" s="20">
        <v>1500</v>
      </c>
      <c r="I311" s="20">
        <v>4.4</v>
      </c>
      <c r="J311" s="20">
        <v>1500</v>
      </c>
      <c r="K311" t="s" s="19">
        <v>238</v>
      </c>
      <c r="L311" t="s" s="19">
        <v>35</v>
      </c>
      <c r="M311" t="str" s="18" cm="1">
        <f t="array" ref="M311">IF(F311="CASH SALE",K311,F311)</f>
        <v>PRAMOD PUNYAPAWAR</v>
      </c>
    </row>
    <row r="312" ht="22.8" customHeight="1">
      <c r="A312" s="14">
        <v>45765</v>
      </c>
      <c r="B312" s="15">
        <v>311</v>
      </c>
      <c r="C312" t="s" s="16">
        <v>7</v>
      </c>
      <c r="D312" s="17"/>
      <c r="E312" s="17"/>
      <c r="F312" t="str" s="18" cm="1">
        <f t="array" ref="F312">_xlfn.TEXTJOIN(" ",1,C312,D312,E312)</f>
        <v>CASH SALE</v>
      </c>
      <c r="G312" t="s" s="19">
        <v>9</v>
      </c>
      <c r="H312" s="20">
        <v>2500</v>
      </c>
      <c r="I312" s="20">
        <v>6</v>
      </c>
      <c r="J312" s="20">
        <v>2500</v>
      </c>
      <c r="K312" t="s" s="19">
        <v>430</v>
      </c>
      <c r="L312" t="s" s="19">
        <v>11</v>
      </c>
      <c r="M312" t="str" s="18" cm="1">
        <f t="array" ref="M312">IF(F312="CASH SALE",K312,F312)</f>
        <v>NITIN KAVA</v>
      </c>
    </row>
    <row r="313" ht="22.8" customHeight="1">
      <c r="A313" s="14">
        <v>45765</v>
      </c>
      <c r="B313" s="15">
        <v>312</v>
      </c>
      <c r="C313" t="s" s="16">
        <v>7</v>
      </c>
      <c r="D313" s="17"/>
      <c r="E313" s="17"/>
      <c r="F313" t="str" s="18" cm="1">
        <f t="array" ref="F313">_xlfn.TEXTJOIN(" ",1,C313,D313,E313)</f>
        <v>CASH SALE</v>
      </c>
      <c r="G313" t="s" s="19">
        <v>9</v>
      </c>
      <c r="H313" s="20">
        <v>2500</v>
      </c>
      <c r="I313" s="20">
        <v>5.25</v>
      </c>
      <c r="J313" s="20">
        <v>2500</v>
      </c>
      <c r="K313" t="s" s="19">
        <v>432</v>
      </c>
      <c r="L313" t="s" s="19">
        <v>11</v>
      </c>
      <c r="M313" t="str" s="18" cm="1">
        <f t="array" ref="M313">IF(F313="CASH SALE",K313,F313)</f>
        <v>ANIL MOHIT</v>
      </c>
    </row>
    <row r="314" ht="22.8" customHeight="1">
      <c r="A314" s="14">
        <v>45765</v>
      </c>
      <c r="B314" s="15">
        <v>313</v>
      </c>
      <c r="C314" t="s" s="16">
        <v>7</v>
      </c>
      <c r="D314" s="17"/>
      <c r="E314" s="17"/>
      <c r="F314" t="str" s="18" cm="1">
        <f t="array" ref="F314">_xlfn.TEXTJOIN(" ",1,C314,D314,E314)</f>
        <v>CASH SALE</v>
      </c>
      <c r="G314" t="s" s="19">
        <v>9</v>
      </c>
      <c r="H314" s="20">
        <v>4000</v>
      </c>
      <c r="I314" s="20">
        <v>5.75</v>
      </c>
      <c r="J314" s="20">
        <v>4000</v>
      </c>
      <c r="K314" t="s" s="19">
        <v>187</v>
      </c>
      <c r="L314" t="s" s="19">
        <v>21</v>
      </c>
      <c r="M314" t="str" s="18" cm="1">
        <f t="array" ref="M314">IF(F314="CASH SALE",K314,F314)</f>
        <v>KAWADU MOH</v>
      </c>
    </row>
    <row r="315" ht="22.8" customHeight="1">
      <c r="A315" s="14">
        <v>45765</v>
      </c>
      <c r="B315" s="15">
        <v>315</v>
      </c>
      <c r="C315" t="s" s="16">
        <v>7</v>
      </c>
      <c r="D315" s="17"/>
      <c r="E315" s="17"/>
      <c r="F315" t="str" s="18" cm="1">
        <f t="array" ref="F315">_xlfn.TEXTJOIN(" ",1,C315,D315,E315)</f>
        <v>CASH SALE</v>
      </c>
      <c r="G315" t="s" s="19">
        <v>9</v>
      </c>
      <c r="H315" s="20">
        <v>3000</v>
      </c>
      <c r="I315" s="20">
        <v>5.75</v>
      </c>
      <c r="J315" s="20">
        <v>3000</v>
      </c>
      <c r="K315" t="s" s="19">
        <v>84</v>
      </c>
      <c r="L315" t="s" s="19">
        <v>27</v>
      </c>
      <c r="M315" t="str" s="18" cm="1">
        <f t="array" ref="M315">IF(F315="CASH SALE",K315,F315)</f>
        <v>MAROTI PAR</v>
      </c>
    </row>
    <row r="316" ht="22.8" customHeight="1">
      <c r="A316" s="14">
        <v>45765</v>
      </c>
      <c r="B316" s="15">
        <v>316</v>
      </c>
      <c r="C316" t="s" s="16">
        <v>7</v>
      </c>
      <c r="D316" s="17"/>
      <c r="E316" s="17"/>
      <c r="F316" t="str" s="18" cm="1">
        <f t="array" ref="F316">_xlfn.TEXTJOIN(" ",1,C316,D316,E316)</f>
        <v>CASH SALE</v>
      </c>
      <c r="G316" t="s" s="19">
        <v>9</v>
      </c>
      <c r="H316" s="20">
        <v>3000</v>
      </c>
      <c r="I316" s="20">
        <v>5.5</v>
      </c>
      <c r="J316" s="20">
        <v>3000</v>
      </c>
      <c r="K316" t="s" s="19">
        <v>434</v>
      </c>
      <c r="L316" t="s" s="19">
        <v>27</v>
      </c>
      <c r="M316" t="str" s="18" cm="1">
        <f t="array" ref="M316">IF(F316="CASH SALE",K316,F316)</f>
        <v>MAHESH YEL</v>
      </c>
    </row>
    <row r="317" ht="22.8" customHeight="1">
      <c r="A317" s="14">
        <v>45765</v>
      </c>
      <c r="B317" s="15">
        <v>317</v>
      </c>
      <c r="C317" t="s" s="16">
        <v>7</v>
      </c>
      <c r="D317" s="17"/>
      <c r="E317" s="17"/>
      <c r="F317" t="str" s="18" cm="1">
        <f t="array" ref="F317">_xlfn.TEXTJOIN(" ",1,C317,D317,E317)</f>
        <v>CASH SALE</v>
      </c>
      <c r="G317" t="s" s="19">
        <v>9</v>
      </c>
      <c r="H317" s="20">
        <v>4000</v>
      </c>
      <c r="I317" s="20">
        <v>5.35</v>
      </c>
      <c r="J317" s="20">
        <v>4000</v>
      </c>
      <c r="K317" t="s" s="19">
        <v>436</v>
      </c>
      <c r="L317" t="s" s="19">
        <v>16</v>
      </c>
      <c r="M317" t="str" s="18" cm="1">
        <f t="array" ref="M317">IF(F317="CASH SALE",K317,F317)</f>
        <v>TUKARAM AA</v>
      </c>
    </row>
    <row r="318" ht="22.8" customHeight="1">
      <c r="A318" s="14">
        <v>45765</v>
      </c>
      <c r="B318" s="15">
        <v>318</v>
      </c>
      <c r="C318" t="s" s="16">
        <v>7</v>
      </c>
      <c r="D318" s="17"/>
      <c r="E318" s="17"/>
      <c r="F318" t="str" s="18" cm="1">
        <f t="array" ref="F318">_xlfn.TEXTJOIN(" ",1,C318,D318,E318)</f>
        <v>CASH SALE</v>
      </c>
      <c r="G318" t="s" s="19">
        <v>9</v>
      </c>
      <c r="H318" s="20">
        <v>4000</v>
      </c>
      <c r="I318" s="20">
        <v>5.25</v>
      </c>
      <c r="J318" s="20">
        <v>4000</v>
      </c>
      <c r="K318" t="s" s="19">
        <v>124</v>
      </c>
      <c r="L318" t="s" s="19">
        <v>16</v>
      </c>
      <c r="M318" t="str" s="18" cm="1">
        <f t="array" ref="M318">IF(F318="CASH SALE",K318,F318)</f>
        <v>NITIN NIPU</v>
      </c>
    </row>
    <row r="319" ht="22.8" customHeight="1">
      <c r="A319" s="14">
        <v>45765</v>
      </c>
      <c r="B319" s="15">
        <v>319</v>
      </c>
      <c r="C319" t="s" s="16">
        <v>7</v>
      </c>
      <c r="D319" s="17"/>
      <c r="E319" s="17"/>
      <c r="F319" t="str" s="18" cm="1">
        <f t="array" ref="F319">_xlfn.TEXTJOIN(" ",1,C319,D319,E319)</f>
        <v>CASH SALE</v>
      </c>
      <c r="G319" t="s" s="19">
        <v>9</v>
      </c>
      <c r="H319" s="20">
        <v>1500</v>
      </c>
      <c r="I319" s="20">
        <v>4.6</v>
      </c>
      <c r="J319" s="20">
        <v>1500</v>
      </c>
      <c r="K319" t="s" s="19">
        <v>438</v>
      </c>
      <c r="L319" t="s" s="19">
        <v>35</v>
      </c>
      <c r="M319" t="str" s="18" cm="1">
        <f t="array" ref="M319">IF(F319="CASH SALE",K319,F319)</f>
        <v>PARAM NIKU</v>
      </c>
    </row>
    <row r="320" ht="22.8" customHeight="1">
      <c r="A320" s="14">
        <v>45765</v>
      </c>
      <c r="B320" s="15">
        <v>320</v>
      </c>
      <c r="C320" t="s" s="16">
        <v>39</v>
      </c>
      <c r="D320" s="17"/>
      <c r="E320" s="17"/>
      <c r="F320" t="str" s="18" cm="1">
        <f t="array" ref="F320">_xlfn.TEXTJOIN(" ",1,C320,D320,E320)</f>
        <v>MANISH TAPASE</v>
      </c>
      <c r="G320" t="s" s="19">
        <v>9</v>
      </c>
      <c r="H320" s="20">
        <v>1500</v>
      </c>
      <c r="I320" s="20">
        <v>4.27</v>
      </c>
      <c r="J320" s="20">
        <v>1500</v>
      </c>
      <c r="K320" t="s" s="19">
        <v>440</v>
      </c>
      <c r="L320" t="s" s="19">
        <v>35</v>
      </c>
      <c r="M320" t="str" s="18" cm="1">
        <f t="array" ref="M320">IF(F320="CASH SALE",K320,F320)</f>
        <v>MANISH TAPASE</v>
      </c>
    </row>
    <row r="321" ht="22.8" customHeight="1">
      <c r="A321" s="14">
        <v>45765</v>
      </c>
      <c r="B321" s="15">
        <v>321</v>
      </c>
      <c r="C321" t="s" s="16">
        <v>7</v>
      </c>
      <c r="D321" s="17"/>
      <c r="E321" s="17"/>
      <c r="F321" t="str" s="18" cm="1">
        <f t="array" ref="F321">_xlfn.TEXTJOIN(" ",1,C321,D321,E321)</f>
        <v>CASH SALE</v>
      </c>
      <c r="G321" t="s" s="19">
        <v>9</v>
      </c>
      <c r="H321" s="20">
        <v>1500</v>
      </c>
      <c r="I321" s="20">
        <v>4.6</v>
      </c>
      <c r="J321" s="20">
        <v>1500</v>
      </c>
      <c r="K321" t="s" s="19">
        <v>322</v>
      </c>
      <c r="L321" t="s" s="19">
        <v>42</v>
      </c>
      <c r="M321" t="str" s="18" cm="1">
        <f t="array" ref="M321">IF(F321="CASH SALE",K321,F321)</f>
        <v>SATISH KHA</v>
      </c>
    </row>
    <row r="322" ht="22.8" customHeight="1">
      <c r="A322" s="14">
        <v>45765</v>
      </c>
      <c r="B322" s="15">
        <v>322</v>
      </c>
      <c r="C322" t="s" s="16">
        <v>23</v>
      </c>
      <c r="D322" s="17"/>
      <c r="E322" s="17"/>
      <c r="F322" t="str" s="18" cm="1">
        <f t="array" ref="F322">_xlfn.TEXTJOIN(" ",1,C322,D322,E322)</f>
        <v>CANCAL D M</v>
      </c>
      <c r="G322" t="s" s="19">
        <v>25</v>
      </c>
      <c r="H322" s="20">
        <v>1</v>
      </c>
      <c r="I322" s="20">
        <v>1</v>
      </c>
      <c r="J322" s="20">
        <v>1</v>
      </c>
      <c r="K322" s="18"/>
      <c r="L322" s="18"/>
      <c r="M322" t="str" s="18" cm="1">
        <f t="array" ref="M322">IF(F322="CASH SALE",K322,F322)</f>
        <v>CANCAL D M</v>
      </c>
    </row>
    <row r="323" ht="22.8" customHeight="1">
      <c r="A323" s="14">
        <v>45765</v>
      </c>
      <c r="B323" s="15">
        <v>323</v>
      </c>
      <c r="C323" t="s" s="16">
        <v>102</v>
      </c>
      <c r="D323" s="17"/>
      <c r="E323" s="17"/>
      <c r="F323" t="str" s="18" cm="1">
        <f t="array" ref="F323">_xlfn.TEXTJOIN(" ",1,C323,D323,E323)</f>
        <v>SUJAL CHANDANKHEDE</v>
      </c>
      <c r="G323" t="s" s="19">
        <v>9</v>
      </c>
      <c r="H323" s="20">
        <v>1500</v>
      </c>
      <c r="I323" s="20">
        <v>4.5</v>
      </c>
      <c r="J323" s="20">
        <v>1500</v>
      </c>
      <c r="K323" t="s" s="19">
        <v>104</v>
      </c>
      <c r="L323" t="s" s="19">
        <v>30</v>
      </c>
      <c r="M323" t="str" s="18" cm="1">
        <f t="array" ref="M323">IF(F323="CASH SALE",K323,F323)</f>
        <v>SUJAL CHANDANKHEDE</v>
      </c>
    </row>
    <row r="324" ht="22.8" customHeight="1">
      <c r="A324" s="14">
        <v>45765</v>
      </c>
      <c r="B324" s="15">
        <v>324</v>
      </c>
      <c r="C324" t="s" s="16">
        <v>256</v>
      </c>
      <c r="D324" s="17"/>
      <c r="E324" s="17"/>
      <c r="F324" t="str" s="18" cm="1">
        <f t="array" ref="F324">_xlfn.TEXTJOIN(" ",1,C324,D324,E324)</f>
        <v>RAGIT BANDHU TRADERS</v>
      </c>
      <c r="G324" t="s" s="19">
        <v>9</v>
      </c>
      <c r="H324" s="20">
        <v>1500</v>
      </c>
      <c r="I324" s="20">
        <v>4.4</v>
      </c>
      <c r="J324" s="20">
        <v>1500</v>
      </c>
      <c r="K324" t="s" s="19">
        <v>441</v>
      </c>
      <c r="L324" t="s" s="19">
        <v>30</v>
      </c>
      <c r="M324" t="str" s="18" cm="1">
        <f t="array" ref="M324">IF(F324="CASH SALE",K324,F324)</f>
        <v>RAGIT BANDHU TRADERS</v>
      </c>
    </row>
    <row r="325" ht="22.8" customHeight="1">
      <c r="A325" s="14">
        <v>45765</v>
      </c>
      <c r="B325" s="15">
        <v>325</v>
      </c>
      <c r="C325" t="s" s="16">
        <v>171</v>
      </c>
      <c r="D325" s="17"/>
      <c r="E325" s="17"/>
      <c r="F325" t="str" s="18" cm="1">
        <f t="array" ref="F325">_xlfn.TEXTJOIN(" ",1,C325,D325,E325)</f>
        <v>SACHIN LINGOJWAR</v>
      </c>
      <c r="G325" t="s" s="19">
        <v>9</v>
      </c>
      <c r="H325" s="20">
        <v>1500</v>
      </c>
      <c r="I325" s="20">
        <v>4.5</v>
      </c>
      <c r="J325" s="20">
        <v>1500</v>
      </c>
      <c r="K325" t="s" s="19">
        <v>173</v>
      </c>
      <c r="L325" t="s" s="19">
        <v>42</v>
      </c>
      <c r="M325" t="str" s="18" cm="1">
        <f t="array" ref="M325">IF(F325="CASH SALE",K325,F325)</f>
        <v>SACHIN LINGOJWAR</v>
      </c>
    </row>
    <row r="326" ht="22.8" customHeight="1">
      <c r="A326" s="14">
        <v>45765</v>
      </c>
      <c r="B326" s="15">
        <v>326</v>
      </c>
      <c r="C326" t="s" s="16">
        <v>261</v>
      </c>
      <c r="D326" s="17"/>
      <c r="E326" s="17"/>
      <c r="F326" t="str" s="18" cm="1">
        <f t="array" ref="F326">_xlfn.TEXTJOIN(" ",1,C326,D326,E326)</f>
        <v>MAGIC SPLASH &amp; RESOR</v>
      </c>
      <c r="G326" t="s" s="19">
        <v>9</v>
      </c>
      <c r="H326" s="20">
        <v>1500</v>
      </c>
      <c r="I326" s="20">
        <v>4.7</v>
      </c>
      <c r="J326" s="20">
        <v>1500</v>
      </c>
      <c r="K326" t="s" s="19">
        <v>150</v>
      </c>
      <c r="L326" t="s" s="19">
        <v>30</v>
      </c>
      <c r="M326" t="str" s="18" cm="1">
        <f t="array" ref="M326">IF(F326="CASH SALE",K326,F326)</f>
        <v>MAGIC SPLASH &amp; RESOR</v>
      </c>
    </row>
    <row r="327" ht="22.8" customHeight="1">
      <c r="A327" s="14">
        <v>45765</v>
      </c>
      <c r="B327" s="15">
        <v>327</v>
      </c>
      <c r="C327" t="s" s="16">
        <v>168</v>
      </c>
      <c r="D327" s="17"/>
      <c r="E327" s="17"/>
      <c r="F327" t="str" s="18" cm="1">
        <f t="array" ref="F327">_xlfn.TEXTJOIN(" ",1,C327,D327,E327)</f>
        <v>SHUBHAM BONDE</v>
      </c>
      <c r="G327" t="s" s="19">
        <v>9</v>
      </c>
      <c r="H327" s="20">
        <v>1500</v>
      </c>
      <c r="I327" s="20">
        <v>4.6</v>
      </c>
      <c r="J327" s="20">
        <v>1500</v>
      </c>
      <c r="K327" t="s" s="19">
        <v>206</v>
      </c>
      <c r="L327" t="s" s="19">
        <v>42</v>
      </c>
      <c r="M327" t="str" s="18" cm="1">
        <f t="array" ref="M327">IF(F327="CASH SALE",K327,F327)</f>
        <v>SHUBHAM BONDE</v>
      </c>
    </row>
    <row r="328" ht="22.8" customHeight="1">
      <c r="A328" s="14">
        <v>45765</v>
      </c>
      <c r="B328" s="15">
        <v>328</v>
      </c>
      <c r="C328" t="s" s="16">
        <v>99</v>
      </c>
      <c r="D328" s="17"/>
      <c r="E328" s="17"/>
      <c r="F328" t="str" s="18" cm="1">
        <f t="array" ref="F328">_xlfn.TEXTJOIN(" ",1,C328,D328,E328)</f>
        <v>GAURAO NANDURKAR</v>
      </c>
      <c r="G328" t="s" s="19">
        <v>9</v>
      </c>
      <c r="H328" s="20">
        <v>1500</v>
      </c>
      <c r="I328" s="20">
        <v>4.5</v>
      </c>
      <c r="J328" s="20">
        <v>1500</v>
      </c>
      <c r="K328" t="s" s="19">
        <v>101</v>
      </c>
      <c r="L328" t="s" s="19">
        <v>35</v>
      </c>
      <c r="M328" t="str" s="18" cm="1">
        <f t="array" ref="M328">IF(F328="CASH SALE",K328,F328)</f>
        <v>GAURAO NANDURKAR</v>
      </c>
    </row>
    <row r="329" ht="22.8" customHeight="1">
      <c r="A329" s="14">
        <v>45765</v>
      </c>
      <c r="B329" s="15">
        <v>329</v>
      </c>
      <c r="C329" t="s" s="16">
        <v>7</v>
      </c>
      <c r="D329" s="17"/>
      <c r="E329" s="17"/>
      <c r="F329" t="str" s="18" cm="1">
        <f t="array" ref="F329">_xlfn.TEXTJOIN(" ",1,C329,D329,E329)</f>
        <v>CASH SALE</v>
      </c>
      <c r="G329" t="s" s="19">
        <v>9</v>
      </c>
      <c r="H329" s="20">
        <v>1500</v>
      </c>
      <c r="I329" s="20">
        <v>4.6</v>
      </c>
      <c r="J329" s="20">
        <v>1500</v>
      </c>
      <c r="K329" t="s" s="19">
        <v>442</v>
      </c>
      <c r="L329" t="s" s="19">
        <v>30</v>
      </c>
      <c r="M329" t="str" s="18" cm="1">
        <f t="array" ref="M329">IF(F329="CASH SALE",K329,F329)</f>
        <v>TUKESH DHA</v>
      </c>
    </row>
    <row r="330" ht="22.8" customHeight="1">
      <c r="A330" s="14">
        <v>45765</v>
      </c>
      <c r="B330" s="15">
        <v>330</v>
      </c>
      <c r="C330" t="s" s="16">
        <v>289</v>
      </c>
      <c r="D330" s="17"/>
      <c r="E330" s="17"/>
      <c r="F330" t="str" s="18" cm="1">
        <f t="array" ref="F330">_xlfn.TEXTJOIN(" ",1,C330,D330,E330)</f>
        <v>WADKAR SAHEB</v>
      </c>
      <c r="G330" t="s" s="19">
        <v>9</v>
      </c>
      <c r="H330" s="20">
        <v>1500</v>
      </c>
      <c r="I330" s="20">
        <v>4.7</v>
      </c>
      <c r="J330" s="20">
        <v>1500</v>
      </c>
      <c r="K330" t="s" s="19">
        <v>173</v>
      </c>
      <c r="L330" t="s" s="19">
        <v>35</v>
      </c>
      <c r="M330" t="str" s="18" cm="1">
        <f t="array" ref="M330">IF(F330="CASH SALE",K330,F330)</f>
        <v>WADKAR SAHEB</v>
      </c>
    </row>
    <row r="331" ht="22.8" customHeight="1">
      <c r="A331" s="14">
        <v>45765</v>
      </c>
      <c r="B331" s="15">
        <v>331</v>
      </c>
      <c r="C331" t="s" s="16">
        <v>163</v>
      </c>
      <c r="D331" s="17"/>
      <c r="E331" s="17"/>
      <c r="F331" t="str" s="18" cm="1">
        <f t="array" ref="F331">_xlfn.TEXTJOIN(" ",1,C331,D331,E331)</f>
        <v>KISHOR AATRAM</v>
      </c>
      <c r="G331" t="s" s="19">
        <v>9</v>
      </c>
      <c r="H331" s="20">
        <v>1500</v>
      </c>
      <c r="I331" s="20">
        <v>4.4</v>
      </c>
      <c r="J331" s="20">
        <v>1500</v>
      </c>
      <c r="K331" t="s" s="19">
        <v>104</v>
      </c>
      <c r="L331" t="s" s="19">
        <v>42</v>
      </c>
      <c r="M331" t="str" s="18" cm="1">
        <f t="array" ref="M331">IF(F331="CASH SALE",K331,F331)</f>
        <v>KISHOR AATRAM</v>
      </c>
    </row>
    <row r="332" ht="22.8" customHeight="1">
      <c r="A332" s="14">
        <v>45765</v>
      </c>
      <c r="B332" s="15">
        <v>314</v>
      </c>
      <c r="C332" t="s" s="16">
        <v>444</v>
      </c>
      <c r="D332" s="17"/>
      <c r="E332" s="17"/>
      <c r="F332" t="str" s="18" cm="1">
        <f t="array" ref="F332">_xlfn.TEXTJOIN(" ",1,C332,D332,E332)</f>
        <v>BSCPL INFRASTRUCTURE</v>
      </c>
      <c r="G332" t="s" s="19">
        <v>9</v>
      </c>
      <c r="H332" s="20">
        <v>4000</v>
      </c>
      <c r="I332" s="20">
        <v>6.5</v>
      </c>
      <c r="J332" s="20">
        <v>4000</v>
      </c>
      <c r="K332" t="s" s="19">
        <v>446</v>
      </c>
      <c r="L332" t="s" s="19">
        <v>21</v>
      </c>
      <c r="M332" t="str" s="18" cm="1">
        <f t="array" ref="M332">IF(F332="CASH SALE",K332,F332)</f>
        <v>BSCPL INFRASTRUCTURE</v>
      </c>
    </row>
    <row r="333" ht="22.8" customHeight="1">
      <c r="A333" s="14">
        <v>45766</v>
      </c>
      <c r="B333" s="15">
        <v>332</v>
      </c>
      <c r="C333" t="s" s="16">
        <v>7</v>
      </c>
      <c r="D333" s="17"/>
      <c r="E333" s="17"/>
      <c r="F333" t="str" s="18" cm="1">
        <f t="array" ref="F333">_xlfn.TEXTJOIN(" ",1,C333,D333,E333)</f>
        <v>CASH SALE</v>
      </c>
      <c r="G333" t="s" s="19">
        <v>9</v>
      </c>
      <c r="H333" s="20">
        <v>2500</v>
      </c>
      <c r="I333" s="20">
        <v>6</v>
      </c>
      <c r="J333" s="20">
        <v>2500</v>
      </c>
      <c r="K333" t="s" s="19">
        <v>447</v>
      </c>
      <c r="L333" t="s" s="19">
        <v>11</v>
      </c>
      <c r="M333" t="str" s="18" cm="1">
        <f t="array" ref="M333">IF(F333="CASH SALE",K333,F333)</f>
        <v>DATTU AGIR</v>
      </c>
    </row>
    <row r="334" ht="22.8" customHeight="1">
      <c r="A334" s="14">
        <v>45766</v>
      </c>
      <c r="B334" s="15">
        <v>333</v>
      </c>
      <c r="C334" t="s" s="16">
        <v>7</v>
      </c>
      <c r="D334" s="17"/>
      <c r="E334" s="17"/>
      <c r="F334" t="str" s="18" cm="1">
        <f t="array" ref="F334">_xlfn.TEXTJOIN(" ",1,C334,D334,E334)</f>
        <v>CASH SALE</v>
      </c>
      <c r="G334" t="s" s="19">
        <v>9</v>
      </c>
      <c r="H334" s="20">
        <v>2500</v>
      </c>
      <c r="I334" s="20">
        <v>5.4</v>
      </c>
      <c r="J334" s="20">
        <v>2500</v>
      </c>
      <c r="K334" t="s" s="19">
        <v>449</v>
      </c>
      <c r="L334" t="s" s="19">
        <v>11</v>
      </c>
      <c r="M334" t="str" s="18" cm="1">
        <f t="array" ref="M334">IF(F334="CASH SALE",K334,F334)</f>
        <v>DESHKAR</v>
      </c>
    </row>
    <row r="335" ht="22.8" customHeight="1">
      <c r="A335" s="14">
        <v>45766</v>
      </c>
      <c r="B335" s="15">
        <v>334</v>
      </c>
      <c r="C335" t="s" s="16">
        <v>7</v>
      </c>
      <c r="D335" s="17"/>
      <c r="E335" s="17"/>
      <c r="F335" t="str" s="18" cm="1">
        <f t="array" ref="F335">_xlfn.TEXTJOIN(" ",1,C335,D335,E335)</f>
        <v>CASH SALE</v>
      </c>
      <c r="G335" t="s" s="19">
        <v>9</v>
      </c>
      <c r="H335" s="20">
        <v>4000</v>
      </c>
      <c r="I335" s="20">
        <v>6</v>
      </c>
      <c r="J335" s="20">
        <v>4000</v>
      </c>
      <c r="K335" t="s" s="19">
        <v>451</v>
      </c>
      <c r="L335" t="s" s="19">
        <v>16</v>
      </c>
      <c r="M335" t="str" s="18" cm="1">
        <f t="array" ref="M335">IF(F335="CASH SALE",K335,F335)</f>
        <v>SHEKHANNA</v>
      </c>
    </row>
    <row r="336" ht="22.8" customHeight="1">
      <c r="A336" s="14">
        <v>45766</v>
      </c>
      <c r="B336" s="15">
        <v>335</v>
      </c>
      <c r="C336" t="s" s="16">
        <v>23</v>
      </c>
      <c r="D336" s="17"/>
      <c r="E336" s="17"/>
      <c r="F336" t="str" s="18" cm="1">
        <f t="array" ref="F336">_xlfn.TEXTJOIN(" ",1,C336,D336,E336)</f>
        <v>CANCAL D M</v>
      </c>
      <c r="G336" t="s" s="19">
        <v>25</v>
      </c>
      <c r="H336" s="20">
        <v>1</v>
      </c>
      <c r="I336" s="20">
        <v>1</v>
      </c>
      <c r="J336" s="20">
        <v>1</v>
      </c>
      <c r="K336" s="18"/>
      <c r="L336" s="18"/>
      <c r="M336" t="str" s="18" cm="1">
        <f t="array" ref="M336">IF(F336="CASH SALE",K336,F336)</f>
        <v>CANCAL D M</v>
      </c>
    </row>
    <row r="337" ht="22.8" customHeight="1">
      <c r="A337" s="14">
        <v>45766</v>
      </c>
      <c r="B337" s="15">
        <v>336</v>
      </c>
      <c r="C337" t="s" s="16">
        <v>23</v>
      </c>
      <c r="D337" s="17"/>
      <c r="E337" s="17"/>
      <c r="F337" t="str" s="18" cm="1">
        <f t="array" ref="F337">_xlfn.TEXTJOIN(" ",1,C337,D337,E337)</f>
        <v>CANCAL D M</v>
      </c>
      <c r="G337" t="s" s="19">
        <v>25</v>
      </c>
      <c r="H337" s="20">
        <v>1</v>
      </c>
      <c r="I337" s="20">
        <v>1</v>
      </c>
      <c r="J337" s="20">
        <v>1</v>
      </c>
      <c r="K337" s="18"/>
      <c r="L337" s="18"/>
      <c r="M337" t="str" s="18" cm="1">
        <f t="array" ref="M337">IF(F337="CASH SALE",K337,F337)</f>
        <v>CANCAL D M</v>
      </c>
    </row>
    <row r="338" ht="22.8" customHeight="1">
      <c r="A338" s="14">
        <v>45766</v>
      </c>
      <c r="B338" s="15">
        <v>337</v>
      </c>
      <c r="C338" t="s" s="16">
        <v>7</v>
      </c>
      <c r="D338" s="17"/>
      <c r="E338" s="17"/>
      <c r="F338" t="str" s="18" cm="1">
        <f t="array" ref="F338">_xlfn.TEXTJOIN(" ",1,C338,D338,E338)</f>
        <v>CASH SALE</v>
      </c>
      <c r="G338" t="s" s="19">
        <v>9</v>
      </c>
      <c r="H338" s="20">
        <v>4000</v>
      </c>
      <c r="I338" s="20">
        <v>5.4</v>
      </c>
      <c r="J338" s="20">
        <v>4000</v>
      </c>
      <c r="K338" t="s" s="19">
        <v>453</v>
      </c>
      <c r="L338" t="s" s="19">
        <v>21</v>
      </c>
      <c r="M338" t="str" s="18" cm="1">
        <f t="array" ref="M338">IF(F338="CASH SALE",K338,F338)</f>
        <v>PURSHOTAM</v>
      </c>
    </row>
    <row r="339" ht="22.8" customHeight="1">
      <c r="A339" s="14">
        <v>45766</v>
      </c>
      <c r="B339" s="15">
        <v>338</v>
      </c>
      <c r="C339" t="s" s="16">
        <v>23</v>
      </c>
      <c r="D339" s="17"/>
      <c r="E339" s="17"/>
      <c r="F339" t="str" s="18" cm="1">
        <f t="array" ref="F339">_xlfn.TEXTJOIN(" ",1,C339,D339,E339)</f>
        <v>CANCAL D M</v>
      </c>
      <c r="G339" t="s" s="19">
        <v>25</v>
      </c>
      <c r="H339" s="20">
        <v>1</v>
      </c>
      <c r="I339" s="20">
        <v>1</v>
      </c>
      <c r="J339" s="20">
        <v>1</v>
      </c>
      <c r="K339" s="18"/>
      <c r="L339" s="18"/>
      <c r="M339" t="str" s="18" cm="1">
        <f t="array" ref="M339">IF(F339="CASH SALE",K339,F339)</f>
        <v>CANCAL D M</v>
      </c>
    </row>
    <row r="340" ht="23.15" customHeight="1">
      <c r="A340" s="22">
        <v>45766</v>
      </c>
      <c r="B340" s="23">
        <v>339</v>
      </c>
      <c r="C340" t="s" s="24">
        <v>23</v>
      </c>
      <c r="D340" s="25"/>
      <c r="E340" s="25"/>
      <c r="F340" t="str" s="26" cm="1">
        <f t="array" ref="F340">_xlfn.TEXTJOIN(" ",1,C340,D340,E340)</f>
        <v>CANCAL D M</v>
      </c>
      <c r="G340" t="s" s="27">
        <v>25</v>
      </c>
      <c r="H340" s="28">
        <v>1</v>
      </c>
      <c r="I340" s="28">
        <v>1</v>
      </c>
      <c r="J340" s="28">
        <v>1</v>
      </c>
      <c r="K340" s="26"/>
      <c r="L340" s="26"/>
      <c r="M340" t="str" s="26" cm="1">
        <f t="array" ref="M340">IF(F340="CASH SALE",K340,F340)</f>
        <v>CANCAL D M</v>
      </c>
    </row>
    <row r="341" ht="23.15" customHeight="1">
      <c r="A341" s="7">
        <v>45766</v>
      </c>
      <c r="B341" s="8">
        <v>340</v>
      </c>
      <c r="C341" t="s" s="9">
        <v>198</v>
      </c>
      <c r="D341" s="10"/>
      <c r="E341" s="10"/>
      <c r="F341" t="str" s="11" cm="1">
        <f t="array" ref="F341">_xlfn.TEXTJOIN(" ",1,C341,D341,E341)</f>
        <v>RENUKA H W</v>
      </c>
      <c r="G341" t="s" s="12">
        <v>9</v>
      </c>
      <c r="H341" s="13">
        <v>1500</v>
      </c>
      <c r="I341" s="13">
        <v>4.4</v>
      </c>
      <c r="J341" s="13">
        <v>1500</v>
      </c>
      <c r="K341" t="s" s="12">
        <v>104</v>
      </c>
      <c r="L341" t="s" s="12">
        <v>42</v>
      </c>
      <c r="M341" t="str" s="11" cm="1">
        <f t="array" ref="M341">IF(F341="CASH SALE",K341,F341)</f>
        <v>RENUKA H W</v>
      </c>
    </row>
    <row r="342" ht="22.8" customHeight="1">
      <c r="A342" s="14">
        <v>45766</v>
      </c>
      <c r="B342" s="15">
        <v>341</v>
      </c>
      <c r="C342" t="s" s="16">
        <v>39</v>
      </c>
      <c r="D342" s="17"/>
      <c r="E342" s="17"/>
      <c r="F342" t="str" s="18" cm="1">
        <f t="array" ref="F342">_xlfn.TEXTJOIN(" ",1,C342,D342,E342)</f>
        <v>MANISH TAPASE</v>
      </c>
      <c r="G342" t="s" s="19">
        <v>9</v>
      </c>
      <c r="H342" s="20">
        <v>1500</v>
      </c>
      <c r="I342" s="20">
        <v>4.27</v>
      </c>
      <c r="J342" s="20">
        <v>1500</v>
      </c>
      <c r="K342" t="s" s="19">
        <v>107</v>
      </c>
      <c r="L342" t="s" s="19">
        <v>42</v>
      </c>
      <c r="M342" t="str" s="18" cm="1">
        <f t="array" ref="M342">IF(F342="CASH SALE",K342,F342)</f>
        <v>MANISH TAPASE</v>
      </c>
    </row>
    <row r="343" ht="22.8" customHeight="1">
      <c r="A343" s="14">
        <v>45766</v>
      </c>
      <c r="B343" s="15">
        <v>342</v>
      </c>
      <c r="C343" t="s" s="16">
        <v>7</v>
      </c>
      <c r="D343" s="17"/>
      <c r="E343" s="17"/>
      <c r="F343" t="str" s="18" cm="1">
        <f t="array" ref="F343">_xlfn.TEXTJOIN(" ",1,C343,D343,E343)</f>
        <v>CASH SALE</v>
      </c>
      <c r="G343" t="s" s="19">
        <v>9</v>
      </c>
      <c r="H343" s="20">
        <v>1500</v>
      </c>
      <c r="I343" s="20">
        <v>4.6</v>
      </c>
      <c r="J343" s="20">
        <v>1500</v>
      </c>
      <c r="K343" t="s" s="19">
        <v>438</v>
      </c>
      <c r="L343" t="s" s="19">
        <v>35</v>
      </c>
      <c r="M343" t="str" s="18" cm="1">
        <f t="array" ref="M343">IF(F343="CASH SALE",K343,F343)</f>
        <v>PARAM NIKU</v>
      </c>
    </row>
    <row r="344" ht="22.8" customHeight="1">
      <c r="A344" s="14">
        <v>45766</v>
      </c>
      <c r="B344" s="15">
        <v>343</v>
      </c>
      <c r="C344" t="s" s="16">
        <v>7</v>
      </c>
      <c r="D344" s="17"/>
      <c r="E344" s="17"/>
      <c r="F344" t="str" s="18" cm="1">
        <f t="array" ref="F344">_xlfn.TEXTJOIN(" ",1,C344,D344,E344)</f>
        <v>CASH SALE</v>
      </c>
      <c r="G344" t="s" s="19">
        <v>9</v>
      </c>
      <c r="H344" s="20">
        <v>1500</v>
      </c>
      <c r="I344" s="20">
        <v>4.5</v>
      </c>
      <c r="J344" s="20">
        <v>1500</v>
      </c>
      <c r="K344" t="s" s="19">
        <v>219</v>
      </c>
      <c r="L344" t="s" s="19">
        <v>35</v>
      </c>
      <c r="M344" t="str" s="18" cm="1">
        <f t="array" ref="M344">IF(F344="CASH SALE",K344,F344)</f>
        <v>PRADIP SHE</v>
      </c>
    </row>
    <row r="345" ht="22.8" customHeight="1">
      <c r="A345" s="14">
        <v>45766</v>
      </c>
      <c r="B345" s="15">
        <v>344</v>
      </c>
      <c r="C345" t="s" s="16">
        <v>43</v>
      </c>
      <c r="D345" s="17"/>
      <c r="E345" s="17"/>
      <c r="F345" t="str" s="18" cm="1">
        <f t="array" ref="F345">_xlfn.TEXTJOIN(" ",1,C345,D345,E345)</f>
        <v>PANDIT PARODHE</v>
      </c>
      <c r="G345" t="s" s="19">
        <v>9</v>
      </c>
      <c r="H345" s="20">
        <v>1500</v>
      </c>
      <c r="I345" s="20">
        <v>5</v>
      </c>
      <c r="J345" s="20">
        <v>1500</v>
      </c>
      <c r="K345" t="s" s="19">
        <v>45</v>
      </c>
      <c r="L345" t="s" s="19">
        <v>30</v>
      </c>
      <c r="M345" t="str" s="18" cm="1">
        <f t="array" ref="M345">IF(F345="CASH SALE",K345,F345)</f>
        <v>PANDIT PARODHE</v>
      </c>
    </row>
    <row r="346" ht="22.8" customHeight="1">
      <c r="A346" s="14">
        <v>45766</v>
      </c>
      <c r="B346" s="15">
        <v>345</v>
      </c>
      <c r="C346" t="s" s="16">
        <v>23</v>
      </c>
      <c r="D346" s="17"/>
      <c r="E346" s="17"/>
      <c r="F346" t="str" s="18" cm="1">
        <f t="array" ref="F346">_xlfn.TEXTJOIN(" ",1,C346,D346,E346)</f>
        <v>CANCAL D M</v>
      </c>
      <c r="G346" t="s" s="19">
        <v>25</v>
      </c>
      <c r="H346" s="20">
        <v>1</v>
      </c>
      <c r="I346" s="20">
        <v>1</v>
      </c>
      <c r="J346" s="20">
        <v>1</v>
      </c>
      <c r="K346" s="18"/>
      <c r="L346" s="18"/>
      <c r="M346" t="str" s="18" cm="1">
        <f t="array" ref="M346">IF(F346="CASH SALE",K346,F346)</f>
        <v>CANCAL D M</v>
      </c>
    </row>
    <row r="347" ht="22.8" customHeight="1">
      <c r="A347" s="14">
        <v>45766</v>
      </c>
      <c r="B347" s="15">
        <v>346</v>
      </c>
      <c r="C347" t="s" s="16">
        <v>289</v>
      </c>
      <c r="D347" s="17"/>
      <c r="E347" s="17"/>
      <c r="F347" t="str" s="18" cm="1">
        <f t="array" ref="F347">_xlfn.TEXTJOIN(" ",1,C347,D347,E347)</f>
        <v>WADKAR SAHEB</v>
      </c>
      <c r="G347" t="s" s="19">
        <v>9</v>
      </c>
      <c r="H347" s="20">
        <v>1500</v>
      </c>
      <c r="I347" s="20">
        <v>4.7</v>
      </c>
      <c r="J347" s="20">
        <v>1500</v>
      </c>
      <c r="K347" t="s" s="19">
        <v>173</v>
      </c>
      <c r="L347" t="s" s="19">
        <v>455</v>
      </c>
      <c r="M347" t="str" s="18" cm="1">
        <f t="array" ref="M347">IF(F347="CASH SALE",K347,F347)</f>
        <v>WADKAR SAHEB</v>
      </c>
    </row>
    <row r="348" ht="22.8" customHeight="1">
      <c r="A348" s="14">
        <v>45766</v>
      </c>
      <c r="B348" s="15">
        <v>347</v>
      </c>
      <c r="C348" t="s" s="16">
        <v>256</v>
      </c>
      <c r="D348" s="17"/>
      <c r="E348" s="17"/>
      <c r="F348" t="str" s="18" cm="1">
        <f t="array" ref="F348">_xlfn.TEXTJOIN(" ",1,C348,D348,E348)</f>
        <v>RAGIT BANDHU TRADERS</v>
      </c>
      <c r="G348" t="s" s="19">
        <v>9</v>
      </c>
      <c r="H348" s="20">
        <v>1500</v>
      </c>
      <c r="I348" s="20">
        <v>4.4</v>
      </c>
      <c r="J348" s="20">
        <v>1500</v>
      </c>
      <c r="K348" t="s" s="19">
        <v>456</v>
      </c>
      <c r="L348" t="s" s="19">
        <v>455</v>
      </c>
      <c r="M348" t="str" s="18" cm="1">
        <f t="array" ref="M348">IF(F348="CASH SALE",K348,F348)</f>
        <v>RAGIT BANDHU TRADERS</v>
      </c>
    </row>
    <row r="349" ht="22.8" customHeight="1">
      <c r="A349" s="14">
        <v>45766</v>
      </c>
      <c r="B349" s="15">
        <v>348</v>
      </c>
      <c r="C349" t="s" s="16">
        <v>457</v>
      </c>
      <c r="D349" s="17"/>
      <c r="E349" s="17"/>
      <c r="F349" t="str" s="18" cm="1">
        <f t="array" ref="F349">_xlfn.TEXTJOIN(" ",1,C349,D349,E349)</f>
        <v>H K PETROLIUM</v>
      </c>
      <c r="G349" t="s" s="19">
        <v>9</v>
      </c>
      <c r="H349" s="20">
        <v>1500</v>
      </c>
      <c r="I349" s="20">
        <v>4.7</v>
      </c>
      <c r="J349" s="20">
        <v>1500</v>
      </c>
      <c r="K349" t="s" s="19">
        <v>238</v>
      </c>
      <c r="L349" t="s" s="19">
        <v>35</v>
      </c>
      <c r="M349" t="str" s="18" cm="1">
        <f t="array" ref="M349">IF(F349="CASH SALE",K349,F349)</f>
        <v>H K PETROLIUM</v>
      </c>
    </row>
    <row r="350" ht="22.8" customHeight="1">
      <c r="A350" s="14">
        <v>45766</v>
      </c>
      <c r="B350" s="15">
        <v>349</v>
      </c>
      <c r="C350" t="s" s="16">
        <v>261</v>
      </c>
      <c r="D350" s="17"/>
      <c r="E350" s="17"/>
      <c r="F350" t="str" s="18" cm="1">
        <f t="array" ref="F350">_xlfn.TEXTJOIN(" ",1,C350,D350,E350)</f>
        <v>MAGIC SPLASH &amp; RESOR</v>
      </c>
      <c r="G350" t="s" s="19">
        <v>9</v>
      </c>
      <c r="H350" s="20">
        <v>1500</v>
      </c>
      <c r="I350" s="20">
        <v>4.7</v>
      </c>
      <c r="J350" s="20">
        <v>1500</v>
      </c>
      <c r="K350" t="s" s="19">
        <v>150</v>
      </c>
      <c r="L350" t="s" s="19">
        <v>42</v>
      </c>
      <c r="M350" t="str" s="18" cm="1">
        <f t="array" ref="M350">IF(F350="CASH SALE",K350,F350)</f>
        <v>MAGIC SPLASH &amp; RESOR</v>
      </c>
    </row>
    <row r="351" ht="22.8" customHeight="1">
      <c r="A351" s="14">
        <v>45766</v>
      </c>
      <c r="B351" s="15">
        <v>350</v>
      </c>
      <c r="C351" t="s" s="16">
        <v>7</v>
      </c>
      <c r="D351" s="17"/>
      <c r="E351" s="17"/>
      <c r="F351" t="str" s="18" cm="1">
        <f t="array" ref="F351">_xlfn.TEXTJOIN(" ",1,C351,D351,E351)</f>
        <v>CASH SALE</v>
      </c>
      <c r="G351" t="s" s="19">
        <v>9</v>
      </c>
      <c r="H351" s="20">
        <v>1500</v>
      </c>
      <c r="I351" s="20">
        <v>4.6</v>
      </c>
      <c r="J351" s="20">
        <v>1500</v>
      </c>
      <c r="K351" t="s" s="19">
        <v>459</v>
      </c>
      <c r="L351" t="s" s="19">
        <v>35</v>
      </c>
      <c r="M351" t="str" s="18" cm="1">
        <f t="array" ref="M351">IF(F351="CASH SALE",K351,F351)</f>
        <v>RAM LEADER</v>
      </c>
    </row>
    <row r="352" ht="22.8" customHeight="1">
      <c r="A352" s="14">
        <v>45766</v>
      </c>
      <c r="B352" s="15">
        <v>351</v>
      </c>
      <c r="C352" t="s" s="16">
        <v>102</v>
      </c>
      <c r="D352" s="17"/>
      <c r="E352" s="17"/>
      <c r="F352" t="str" s="18" cm="1">
        <f t="array" ref="F352">_xlfn.TEXTJOIN(" ",1,C352,D352,E352)</f>
        <v>SUJAL CHANDANKHEDE</v>
      </c>
      <c r="G352" t="s" s="19">
        <v>9</v>
      </c>
      <c r="H352" s="20">
        <v>1500</v>
      </c>
      <c r="I352" s="20">
        <v>4.5</v>
      </c>
      <c r="J352" s="20">
        <v>1500</v>
      </c>
      <c r="K352" t="s" s="19">
        <v>461</v>
      </c>
      <c r="L352" t="s" s="19">
        <v>455</v>
      </c>
      <c r="M352" t="str" s="18" cm="1">
        <f t="array" ref="M352">IF(F352="CASH SALE",K352,F352)</f>
        <v>SUJAL CHANDANKHEDE</v>
      </c>
    </row>
    <row r="353" ht="22.8" customHeight="1">
      <c r="A353" s="14">
        <v>45766</v>
      </c>
      <c r="B353" s="15">
        <v>352</v>
      </c>
      <c r="C353" t="s" s="16">
        <v>236</v>
      </c>
      <c r="D353" s="17"/>
      <c r="E353" s="17"/>
      <c r="F353" t="str" s="18" cm="1">
        <f t="array" ref="F353">_xlfn.TEXTJOIN(" ",1,C353,D353,E353)</f>
        <v>PRADIP BUKKAWAR</v>
      </c>
      <c r="G353" t="s" s="19">
        <v>9</v>
      </c>
      <c r="H353" s="20">
        <v>1500</v>
      </c>
      <c r="I353" s="20">
        <v>4.2</v>
      </c>
      <c r="J353" s="20">
        <v>1500</v>
      </c>
      <c r="K353" t="s" s="19">
        <v>238</v>
      </c>
      <c r="L353" t="s" s="19">
        <v>42</v>
      </c>
      <c r="M353" t="str" s="18" cm="1">
        <f t="array" ref="M353">IF(F353="CASH SALE",K353,F353)</f>
        <v>PRADIP BUKKAWAR</v>
      </c>
    </row>
    <row r="354" ht="22.8" customHeight="1">
      <c r="A354" s="14">
        <v>45766</v>
      </c>
      <c r="B354" s="15">
        <v>352</v>
      </c>
      <c r="C354" t="s" s="16">
        <v>236</v>
      </c>
      <c r="D354" s="17"/>
      <c r="E354" s="17"/>
      <c r="F354" t="str" s="18" cm="1">
        <f t="array" ref="F354">_xlfn.TEXTJOIN(" ",1,C354,D354,E354)</f>
        <v>PRADIP BUKKAWAR</v>
      </c>
      <c r="G354" t="s" s="19">
        <v>462</v>
      </c>
      <c r="H354" s="20">
        <v>30</v>
      </c>
      <c r="I354" s="20">
        <v>300</v>
      </c>
      <c r="J354" s="20">
        <v>30</v>
      </c>
      <c r="K354" t="s" s="19">
        <v>238</v>
      </c>
      <c r="L354" t="s" s="19">
        <v>42</v>
      </c>
      <c r="M354" t="str" s="18" cm="1">
        <f t="array" ref="M354">IF(F354="CASH SALE",K354,F354)</f>
        <v>PRADIP BUKKAWAR</v>
      </c>
    </row>
    <row r="355" ht="22.8" customHeight="1">
      <c r="A355" s="14">
        <v>45767</v>
      </c>
      <c r="B355" s="15">
        <v>353</v>
      </c>
      <c r="C355" t="s" s="21">
        <v>74</v>
      </c>
      <c r="D355" t="s" s="16">
        <v>75</v>
      </c>
      <c r="E355" s="17"/>
      <c r="F355" t="str" s="18" cm="1">
        <f t="array" ref="F355">_xlfn.TEXTJOIN(" ",1,C355,D355,E355)</f>
        <v>CASH SALE</v>
      </c>
      <c r="G355" t="s" s="19">
        <v>9</v>
      </c>
      <c r="H355" s="20">
        <v>3000</v>
      </c>
      <c r="I355" s="20">
        <v>5.5</v>
      </c>
      <c r="J355" s="20">
        <v>3000</v>
      </c>
      <c r="K355" t="s" s="19">
        <v>463</v>
      </c>
      <c r="L355" t="s" s="19">
        <v>27</v>
      </c>
      <c r="M355" t="str" s="18" cm="1">
        <f t="array" ref="M355">IF(F355="CASH SALE",K355,F355)</f>
        <v>UMESH BHOY</v>
      </c>
    </row>
    <row r="356" ht="22.8" customHeight="1">
      <c r="A356" s="14">
        <v>45767</v>
      </c>
      <c r="B356" s="15">
        <v>354</v>
      </c>
      <c r="C356" t="s" s="21">
        <v>74</v>
      </c>
      <c r="D356" t="s" s="16">
        <v>75</v>
      </c>
      <c r="E356" s="17"/>
      <c r="F356" t="str" s="18" cm="1">
        <f t="array" ref="F356">_xlfn.TEXTJOIN(" ",1,C356,D356,E356)</f>
        <v>CASH SALE</v>
      </c>
      <c r="G356" t="s" s="19">
        <v>9</v>
      </c>
      <c r="H356" s="20">
        <v>2500</v>
      </c>
      <c r="I356" s="20">
        <v>5.75</v>
      </c>
      <c r="J356" s="20">
        <v>2500</v>
      </c>
      <c r="K356" t="s" s="19">
        <v>153</v>
      </c>
      <c r="L356" t="s" s="19">
        <v>11</v>
      </c>
      <c r="M356" t="str" s="18" cm="1">
        <f t="array" ref="M356">IF(F356="CASH SALE",K356,F356)</f>
        <v>ABHAY GOVA</v>
      </c>
    </row>
    <row r="357" ht="22.8" customHeight="1">
      <c r="A357" s="14">
        <v>45767</v>
      </c>
      <c r="B357" s="15">
        <v>355</v>
      </c>
      <c r="C357" t="s" s="21">
        <v>74</v>
      </c>
      <c r="D357" t="s" s="16">
        <v>75</v>
      </c>
      <c r="E357" s="17"/>
      <c r="F357" t="str" s="18" cm="1">
        <f t="array" ref="F357">_xlfn.TEXTJOIN(" ",1,C357,D357,E357)</f>
        <v>CASH SALE</v>
      </c>
      <c r="G357" t="s" s="19">
        <v>9</v>
      </c>
      <c r="H357" s="20">
        <v>4000</v>
      </c>
      <c r="I357" s="20">
        <v>6</v>
      </c>
      <c r="J357" s="20">
        <v>4000</v>
      </c>
      <c r="K357" t="s" s="19">
        <v>134</v>
      </c>
      <c r="L357" t="s" s="19">
        <v>21</v>
      </c>
      <c r="M357" t="str" s="18" cm="1">
        <f t="array" ref="M357">IF(F357="CASH SALE",K357,F357)</f>
        <v>SHAFIQ AHE</v>
      </c>
    </row>
    <row r="358" ht="22.8" customHeight="1">
      <c r="A358" s="14">
        <v>45767</v>
      </c>
      <c r="B358" s="15">
        <v>356</v>
      </c>
      <c r="C358" t="s" s="21">
        <v>74</v>
      </c>
      <c r="D358" t="s" s="16">
        <v>75</v>
      </c>
      <c r="E358" s="17"/>
      <c r="F358" t="str" s="18" cm="1">
        <f t="array" ref="F358">_xlfn.TEXTJOIN(" ",1,C358,D358,E358)</f>
        <v>CASH SALE</v>
      </c>
      <c r="G358" t="s" s="19">
        <v>9</v>
      </c>
      <c r="H358" s="20">
        <v>4000</v>
      </c>
      <c r="I358" s="20">
        <v>5.5</v>
      </c>
      <c r="J358" s="20">
        <v>4000</v>
      </c>
      <c r="K358" t="s" s="19">
        <v>465</v>
      </c>
      <c r="L358" t="s" s="19">
        <v>21</v>
      </c>
      <c r="M358" t="str" s="18" cm="1">
        <f t="array" ref="M358">IF(F358="CASH SALE",K358,F358)</f>
        <v>NARESH GUR</v>
      </c>
    </row>
    <row r="359" ht="22.8" customHeight="1">
      <c r="A359" s="14">
        <v>45767</v>
      </c>
      <c r="B359" s="15">
        <v>357</v>
      </c>
      <c r="C359" t="s" s="21">
        <v>74</v>
      </c>
      <c r="D359" t="s" s="16">
        <v>75</v>
      </c>
      <c r="E359" s="17"/>
      <c r="F359" t="str" s="18" cm="1">
        <f t="array" ref="F359">_xlfn.TEXTJOIN(" ",1,C359,D359,E359)</f>
        <v>CASH SALE</v>
      </c>
      <c r="G359" t="s" s="19">
        <v>9</v>
      </c>
      <c r="H359" s="20">
        <v>4000</v>
      </c>
      <c r="I359" s="20">
        <v>5.75</v>
      </c>
      <c r="J359" s="20">
        <v>4000</v>
      </c>
      <c r="K359" t="s" s="19">
        <v>467</v>
      </c>
      <c r="L359" t="s" s="19">
        <v>16</v>
      </c>
      <c r="M359" t="str" s="18" cm="1">
        <f t="array" ref="M359">IF(F359="CASH SALE",K359,F359)</f>
        <v>MADHUKAR R</v>
      </c>
    </row>
    <row r="360" ht="22.8" customHeight="1">
      <c r="A360" s="14">
        <v>45767</v>
      </c>
      <c r="B360" s="15">
        <v>358</v>
      </c>
      <c r="C360" t="s" s="21">
        <v>74</v>
      </c>
      <c r="D360" t="s" s="16">
        <v>75</v>
      </c>
      <c r="E360" s="17"/>
      <c r="F360" t="str" s="18" cm="1">
        <f t="array" ref="F360">_xlfn.TEXTJOIN(" ",1,C360,D360,E360)</f>
        <v>CASH SALE</v>
      </c>
      <c r="G360" t="s" s="19">
        <v>9</v>
      </c>
      <c r="H360" s="20">
        <v>4000</v>
      </c>
      <c r="I360" s="20">
        <v>5.25</v>
      </c>
      <c r="J360" s="20">
        <v>4000</v>
      </c>
      <c r="K360" t="s" s="19">
        <v>469</v>
      </c>
      <c r="L360" t="s" s="19">
        <v>16</v>
      </c>
      <c r="M360" t="str" s="18" cm="1">
        <f t="array" ref="M360">IF(F360="CASH SALE",K360,F360)</f>
        <v>CHARAN DEW</v>
      </c>
    </row>
    <row r="361" ht="22.8" customHeight="1">
      <c r="A361" s="14">
        <v>45767</v>
      </c>
      <c r="B361" s="15">
        <v>359</v>
      </c>
      <c r="C361" t="s" s="21">
        <v>74</v>
      </c>
      <c r="D361" t="s" s="16">
        <v>75</v>
      </c>
      <c r="E361" s="17"/>
      <c r="F361" t="str" s="18" cm="1">
        <f t="array" ref="F361">_xlfn.TEXTJOIN(" ",1,C361,D361,E361)</f>
        <v>CASH SALE</v>
      </c>
      <c r="G361" t="s" s="19">
        <v>9</v>
      </c>
      <c r="H361" s="20">
        <v>1500</v>
      </c>
      <c r="I361" s="20">
        <v>4.8</v>
      </c>
      <c r="J361" s="20">
        <v>1500</v>
      </c>
      <c r="K361" t="s" s="19">
        <v>471</v>
      </c>
      <c r="L361" t="s" s="19">
        <v>35</v>
      </c>
      <c r="M361" t="str" s="18" cm="1">
        <f t="array" ref="M361">IF(F361="CASH SALE",K361,F361)</f>
        <v>VIJAY DHOK</v>
      </c>
    </row>
    <row r="362" ht="22.8" customHeight="1">
      <c r="A362" s="14">
        <v>45767</v>
      </c>
      <c r="B362" s="15">
        <v>360</v>
      </c>
      <c r="C362" t="s" s="21">
        <v>74</v>
      </c>
      <c r="D362" t="s" s="16">
        <v>75</v>
      </c>
      <c r="E362" s="17"/>
      <c r="F362" t="str" s="18" cm="1">
        <f t="array" ref="F362">_xlfn.TEXTJOIN(" ",1,C362,D362,E362)</f>
        <v>CASH SALE</v>
      </c>
      <c r="G362" t="s" s="19">
        <v>9</v>
      </c>
      <c r="H362" s="20">
        <v>1500</v>
      </c>
      <c r="I362" s="20">
        <v>4.6</v>
      </c>
      <c r="J362" s="20">
        <v>1500</v>
      </c>
      <c r="K362" t="s" s="19">
        <v>269</v>
      </c>
      <c r="L362" t="s" s="19">
        <v>35</v>
      </c>
      <c r="M362" t="str" s="18" cm="1">
        <f t="array" ref="M362">IF(F362="CASH SALE",K362,F362)</f>
        <v>RAHUL GURA</v>
      </c>
    </row>
    <row r="363" ht="22.8" customHeight="1">
      <c r="A363" s="14">
        <v>45767</v>
      </c>
      <c r="B363" s="15">
        <v>361</v>
      </c>
      <c r="C363" t="s" s="21">
        <v>74</v>
      </c>
      <c r="D363" t="s" s="16">
        <v>75</v>
      </c>
      <c r="E363" s="17"/>
      <c r="F363" t="str" s="18" cm="1">
        <f t="array" ref="F363">_xlfn.TEXTJOIN(" ",1,C363,D363,E363)</f>
        <v>CASH SALE</v>
      </c>
      <c r="G363" t="s" s="19">
        <v>9</v>
      </c>
      <c r="H363" s="20">
        <v>1500</v>
      </c>
      <c r="I363" s="20">
        <v>4.6</v>
      </c>
      <c r="J363" s="20">
        <v>1500</v>
      </c>
      <c r="K363" t="s" s="19">
        <v>442</v>
      </c>
      <c r="L363" t="s" s="19">
        <v>42</v>
      </c>
      <c r="M363" t="str" s="18" cm="1">
        <f t="array" ref="M363">IF(F363="CASH SALE",K363,F363)</f>
        <v>TUKESH DHA</v>
      </c>
    </row>
    <row r="364" ht="22.8" customHeight="1">
      <c r="A364" s="14">
        <v>45767</v>
      </c>
      <c r="B364" s="15">
        <v>362</v>
      </c>
      <c r="C364" t="s" s="21">
        <v>74</v>
      </c>
      <c r="D364" t="s" s="16">
        <v>75</v>
      </c>
      <c r="E364" s="17"/>
      <c r="F364" t="str" s="18" cm="1">
        <f t="array" ref="F364">_xlfn.TEXTJOIN(" ",1,C364,D364,E364)</f>
        <v>CASH SALE</v>
      </c>
      <c r="G364" t="s" s="19">
        <v>9</v>
      </c>
      <c r="H364" s="20">
        <v>1500</v>
      </c>
      <c r="I364" s="20">
        <v>4.6</v>
      </c>
      <c r="J364" s="20">
        <v>1500</v>
      </c>
      <c r="K364" t="s" s="19">
        <v>473</v>
      </c>
      <c r="L364" t="s" s="19">
        <v>42</v>
      </c>
      <c r="M364" t="str" s="18" cm="1">
        <f t="array" ref="M364">IF(F364="CASH SALE",K364,F364)</f>
        <v>SUNY BETWA</v>
      </c>
    </row>
    <row r="365" ht="22.8" customHeight="1">
      <c r="A365" s="14">
        <v>45767</v>
      </c>
      <c r="B365" s="15">
        <v>363</v>
      </c>
      <c r="C365" t="s" s="21">
        <v>74</v>
      </c>
      <c r="D365" t="s" s="16">
        <v>75</v>
      </c>
      <c r="E365" s="17"/>
      <c r="F365" t="str" s="18" cm="1">
        <f t="array" ref="F365">_xlfn.TEXTJOIN(" ",1,C365,D365,E365)</f>
        <v>CASH SALE</v>
      </c>
      <c r="G365" t="s" s="19">
        <v>9</v>
      </c>
      <c r="H365" s="20">
        <v>1500</v>
      </c>
      <c r="I365" s="20">
        <v>4.8</v>
      </c>
      <c r="J365" s="20">
        <v>1500</v>
      </c>
      <c r="K365" t="s" s="19">
        <v>475</v>
      </c>
      <c r="L365" t="s" s="19">
        <v>455</v>
      </c>
      <c r="M365" t="str" s="18" cm="1">
        <f t="array" ref="M365">IF(F365="CASH SALE",K365,F365)</f>
        <v>NIWALKAR</v>
      </c>
    </row>
    <row r="366" ht="22.8" customHeight="1">
      <c r="A366" s="14">
        <v>45767</v>
      </c>
      <c r="B366" s="15">
        <v>364</v>
      </c>
      <c r="C366" t="s" s="16">
        <v>39</v>
      </c>
      <c r="D366" s="17"/>
      <c r="E366" s="17"/>
      <c r="F366" t="str" s="18" cm="1">
        <f t="array" ref="F366">_xlfn.TEXTJOIN(" ",1,C366,D366,E366)</f>
        <v>MANISH TAPASE</v>
      </c>
      <c r="G366" t="s" s="19">
        <v>9</v>
      </c>
      <c r="H366" s="20">
        <v>1500</v>
      </c>
      <c r="I366" s="20">
        <v>4.27</v>
      </c>
      <c r="J366" s="20">
        <v>1500</v>
      </c>
      <c r="K366" t="s" s="19">
        <v>477</v>
      </c>
      <c r="L366" t="s" s="19">
        <v>455</v>
      </c>
      <c r="M366" t="str" s="18" cm="1">
        <f t="array" ref="M366">IF(F366="CASH SALE",K366,F366)</f>
        <v>MANISH TAPASE</v>
      </c>
    </row>
    <row r="367" ht="22.8" customHeight="1">
      <c r="A367" s="14">
        <v>45767</v>
      </c>
      <c r="B367" s="15">
        <v>365</v>
      </c>
      <c r="C367" t="s" s="16">
        <v>256</v>
      </c>
      <c r="D367" s="17"/>
      <c r="E367" s="17"/>
      <c r="F367" t="str" s="18" cm="1">
        <f t="array" ref="F367">_xlfn.TEXTJOIN(" ",1,C367,D367,E367)</f>
        <v>RAGIT BANDHU TRADERS</v>
      </c>
      <c r="G367" t="s" s="19">
        <v>9</v>
      </c>
      <c r="H367" s="20">
        <v>1500</v>
      </c>
      <c r="I367" s="20">
        <v>4.4</v>
      </c>
      <c r="J367" s="20">
        <v>1500</v>
      </c>
      <c r="K367" t="s" s="19">
        <v>478</v>
      </c>
      <c r="L367" t="s" s="19">
        <v>455</v>
      </c>
      <c r="M367" t="str" s="18" cm="1">
        <f t="array" ref="M367">IF(F367="CASH SALE",K367,F367)</f>
        <v>RAGIT BANDHU TRADERS</v>
      </c>
    </row>
    <row r="368" ht="22.8" customHeight="1">
      <c r="A368" s="14">
        <v>45767</v>
      </c>
      <c r="B368" s="15">
        <v>367</v>
      </c>
      <c r="C368" t="s" s="16">
        <v>168</v>
      </c>
      <c r="D368" s="17"/>
      <c r="E368" s="17"/>
      <c r="F368" t="str" s="18" cm="1">
        <f t="array" ref="F368">_xlfn.TEXTJOIN(" ",1,C368,D368,E368)</f>
        <v>SHUBHAM BONDE</v>
      </c>
      <c r="G368" t="s" s="19">
        <v>9</v>
      </c>
      <c r="H368" s="20">
        <v>1500</v>
      </c>
      <c r="I368" s="20">
        <v>4.6</v>
      </c>
      <c r="J368" s="20">
        <v>1500</v>
      </c>
      <c r="K368" t="s" s="19">
        <v>206</v>
      </c>
      <c r="L368" t="s" s="19">
        <v>42</v>
      </c>
      <c r="M368" t="str" s="18" cm="1">
        <f t="array" ref="M368">IF(F368="CASH SALE",K368,F368)</f>
        <v>SHUBHAM BONDE</v>
      </c>
    </row>
    <row r="369" ht="22.8" customHeight="1">
      <c r="A369" s="14">
        <v>45767</v>
      </c>
      <c r="B369" s="15">
        <v>368</v>
      </c>
      <c r="C369" t="s" s="16">
        <v>7</v>
      </c>
      <c r="D369" s="17"/>
      <c r="E369" s="17"/>
      <c r="F369" t="str" s="18" cm="1">
        <f t="array" ref="F369">_xlfn.TEXTJOIN(" ",1,C369,D369,E369)</f>
        <v>CASH SALE</v>
      </c>
      <c r="G369" t="s" s="19">
        <v>9</v>
      </c>
      <c r="H369" s="20">
        <v>1500</v>
      </c>
      <c r="I369" s="20">
        <v>4.4</v>
      </c>
      <c r="J369" s="20">
        <v>1500</v>
      </c>
      <c r="K369" t="s" s="19">
        <v>479</v>
      </c>
      <c r="L369" t="s" s="19">
        <v>42</v>
      </c>
      <c r="M369" t="str" s="18" cm="1">
        <f t="array" ref="M369">IF(F369="CASH SALE",K369,F369)</f>
        <v>DINESH K</v>
      </c>
    </row>
    <row r="370" ht="22.8" customHeight="1">
      <c r="A370" s="14">
        <v>45767</v>
      </c>
      <c r="B370" s="15">
        <v>369</v>
      </c>
      <c r="C370" t="s" s="16">
        <v>296</v>
      </c>
      <c r="D370" s="17"/>
      <c r="E370" s="17"/>
      <c r="F370" t="str" s="18" cm="1">
        <f t="array" ref="F370">_xlfn.TEXTJOIN(" ",1,C370,D370,E370)</f>
        <v>PRAMOD PUNYAPAWAR</v>
      </c>
      <c r="G370" t="s" s="19">
        <v>9</v>
      </c>
      <c r="H370" s="20">
        <v>1500</v>
      </c>
      <c r="I370" s="20">
        <v>4.4</v>
      </c>
      <c r="J370" s="20">
        <v>1500</v>
      </c>
      <c r="K370" t="s" s="19">
        <v>238</v>
      </c>
      <c r="L370" t="s" s="19">
        <v>455</v>
      </c>
      <c r="M370" t="str" s="18" cm="1">
        <f t="array" ref="M370">IF(F370="CASH SALE",K370,F370)</f>
        <v>PRAMOD PUNYAPAWAR</v>
      </c>
    </row>
    <row r="371" ht="22.8" customHeight="1">
      <c r="A371" s="14">
        <v>45767</v>
      </c>
      <c r="B371" s="15">
        <v>370</v>
      </c>
      <c r="C371" t="s" s="16">
        <v>46</v>
      </c>
      <c r="D371" s="17"/>
      <c r="E371" s="17"/>
      <c r="F371" t="str" s="18" cm="1">
        <f t="array" ref="F371">_xlfn.TEXTJOIN(" ",1,C371,D371,E371)</f>
        <v>ARYAN BUILDERS</v>
      </c>
      <c r="G371" t="s" s="19">
        <v>9</v>
      </c>
      <c r="H371" s="20">
        <v>1500</v>
      </c>
      <c r="I371" s="20">
        <v>4.5</v>
      </c>
      <c r="J371" s="20">
        <v>1500</v>
      </c>
      <c r="K371" t="s" s="19">
        <v>48</v>
      </c>
      <c r="L371" t="s" s="19">
        <v>35</v>
      </c>
      <c r="M371" t="str" s="18" cm="1">
        <f t="array" ref="M371">IF(F371="CASH SALE",K371,F371)</f>
        <v>ARYAN BUILDERS</v>
      </c>
    </row>
    <row r="372" ht="22.8" customHeight="1">
      <c r="A372" s="14">
        <v>45767</v>
      </c>
      <c r="B372" s="15">
        <v>366</v>
      </c>
      <c r="C372" t="s" s="21">
        <v>74</v>
      </c>
      <c r="D372" t="s" s="16">
        <v>75</v>
      </c>
      <c r="E372" s="17"/>
      <c r="F372" t="str" s="18" cm="1">
        <f t="array" ref="F372">_xlfn.TEXTJOIN(" ",1,C372,D372,E372)</f>
        <v>CASH SALE</v>
      </c>
      <c r="G372" t="s" s="19">
        <v>9</v>
      </c>
      <c r="H372" s="20">
        <v>1500</v>
      </c>
      <c r="I372" s="20">
        <v>4.5</v>
      </c>
      <c r="J372" s="20">
        <v>1500</v>
      </c>
      <c r="K372" t="s" s="19">
        <v>481</v>
      </c>
      <c r="L372" t="s" s="19">
        <v>35</v>
      </c>
      <c r="M372" t="str" s="18" cm="1">
        <f t="array" ref="M372">IF(F372="CASH SALE",K372,F372)</f>
        <v>SURESH NAG</v>
      </c>
    </row>
    <row r="373" ht="22.8" customHeight="1">
      <c r="A373" s="14">
        <v>45768</v>
      </c>
      <c r="B373" s="15">
        <v>371</v>
      </c>
      <c r="C373" t="s" s="21">
        <v>74</v>
      </c>
      <c r="D373" t="s" s="16">
        <v>75</v>
      </c>
      <c r="E373" s="17"/>
      <c r="F373" t="str" s="18" cm="1">
        <f t="array" ref="F373">_xlfn.TEXTJOIN(" ",1,C373,D373,E373)</f>
        <v>CASH SALE</v>
      </c>
      <c r="G373" t="s" s="19">
        <v>9</v>
      </c>
      <c r="H373" s="20">
        <v>4000</v>
      </c>
      <c r="I373" s="20">
        <v>6</v>
      </c>
      <c r="J373" s="20">
        <v>4000</v>
      </c>
      <c r="K373" t="s" s="19">
        <v>483</v>
      </c>
      <c r="L373" t="s" s="19">
        <v>16</v>
      </c>
      <c r="M373" t="str" s="18" cm="1">
        <f t="array" ref="M373">IF(F373="CASH SALE",K373,F373)</f>
        <v>ARUN CHINN</v>
      </c>
    </row>
    <row r="374" ht="22.8" customHeight="1">
      <c r="A374" s="14">
        <v>45768</v>
      </c>
      <c r="B374" s="15">
        <v>372</v>
      </c>
      <c r="C374" t="s" s="21">
        <v>74</v>
      </c>
      <c r="D374" t="s" s="16">
        <v>75</v>
      </c>
      <c r="E374" s="17"/>
      <c r="F374" t="str" s="18" cm="1">
        <f t="array" ref="F374">_xlfn.TEXTJOIN(" ",1,C374,D374,E374)</f>
        <v>CASH SALE</v>
      </c>
      <c r="G374" t="s" s="19">
        <v>9</v>
      </c>
      <c r="H374" s="20">
        <v>4000</v>
      </c>
      <c r="I374" s="20">
        <v>5.5</v>
      </c>
      <c r="J374" s="20">
        <v>4000</v>
      </c>
      <c r="K374" t="s" s="19">
        <v>485</v>
      </c>
      <c r="L374" t="s" s="19">
        <v>16</v>
      </c>
      <c r="M374" t="str" s="18" cm="1">
        <f t="array" ref="M374">IF(F374="CASH SALE",K374,F374)</f>
        <v>ANIL NAGRA</v>
      </c>
    </row>
    <row r="375" ht="22.8" customHeight="1">
      <c r="A375" s="14">
        <v>45768</v>
      </c>
      <c r="B375" s="15">
        <v>373</v>
      </c>
      <c r="C375" t="s" s="21">
        <v>74</v>
      </c>
      <c r="D375" t="s" s="16">
        <v>75</v>
      </c>
      <c r="E375" s="17"/>
      <c r="F375" t="str" s="18" cm="1">
        <f t="array" ref="F375">_xlfn.TEXTJOIN(" ",1,C375,D375,E375)</f>
        <v>CASH SALE</v>
      </c>
      <c r="G375" t="s" s="19">
        <v>9</v>
      </c>
      <c r="H375" s="20">
        <v>4000</v>
      </c>
      <c r="I375" s="20">
        <v>6</v>
      </c>
      <c r="J375" s="20">
        <v>4000</v>
      </c>
      <c r="K375" t="s" s="19">
        <v>487</v>
      </c>
      <c r="L375" t="s" s="19">
        <v>21</v>
      </c>
      <c r="M375" t="str" s="18" cm="1">
        <f t="array" ref="M375">IF(F375="CASH SALE",K375,F375)</f>
        <v>RAMESH SHI</v>
      </c>
    </row>
    <row r="376" ht="22.8" customHeight="1">
      <c r="A376" s="14">
        <v>45768</v>
      </c>
      <c r="B376" s="15">
        <v>374</v>
      </c>
      <c r="C376" t="s" s="21">
        <v>74</v>
      </c>
      <c r="D376" t="s" s="16">
        <v>75</v>
      </c>
      <c r="E376" s="17"/>
      <c r="F376" t="str" s="18" cm="1">
        <f t="array" ref="F376">_xlfn.TEXTJOIN(" ",1,C376,D376,E376)</f>
        <v>CASH SALE</v>
      </c>
      <c r="G376" t="s" s="19">
        <v>9</v>
      </c>
      <c r="H376" s="20">
        <v>4000</v>
      </c>
      <c r="I376" s="20">
        <v>5.25</v>
      </c>
      <c r="J376" s="20">
        <v>4000</v>
      </c>
      <c r="K376" t="s" s="19">
        <v>245</v>
      </c>
      <c r="L376" t="s" s="19">
        <v>21</v>
      </c>
      <c r="M376" t="str" s="18" cm="1">
        <f t="array" ref="M376">IF(F376="CASH SALE",K376,F376)</f>
        <v>ZINGU MOHA</v>
      </c>
    </row>
    <row r="377" ht="22.8" customHeight="1">
      <c r="A377" s="14">
        <v>45768</v>
      </c>
      <c r="B377" s="15">
        <v>375</v>
      </c>
      <c r="C377" t="s" s="21">
        <v>74</v>
      </c>
      <c r="D377" t="s" s="16">
        <v>75</v>
      </c>
      <c r="E377" s="17"/>
      <c r="F377" t="str" s="18" cm="1">
        <f t="array" ref="F377">_xlfn.TEXTJOIN(" ",1,C377,D377,E377)</f>
        <v>CASH SALE</v>
      </c>
      <c r="G377" t="s" s="19">
        <v>9</v>
      </c>
      <c r="H377" s="20">
        <v>2500</v>
      </c>
      <c r="I377" s="20">
        <v>5.75</v>
      </c>
      <c r="J377" s="20">
        <v>2500</v>
      </c>
      <c r="K377" t="s" s="19">
        <v>489</v>
      </c>
      <c r="L377" t="s" s="19">
        <v>11</v>
      </c>
      <c r="M377" t="str" s="18" cm="1">
        <f t="array" ref="M377">IF(F377="CASH SALE",K377,F377)</f>
        <v>SUBHASH SA</v>
      </c>
    </row>
    <row r="378" ht="22.8" customHeight="1">
      <c r="A378" s="14">
        <v>45768</v>
      </c>
      <c r="B378" s="15">
        <v>376</v>
      </c>
      <c r="C378" t="s" s="21">
        <v>74</v>
      </c>
      <c r="D378" t="s" s="16">
        <v>75</v>
      </c>
      <c r="E378" s="17"/>
      <c r="F378" t="str" s="18" cm="1">
        <f t="array" ref="F378">_xlfn.TEXTJOIN(" ",1,C378,D378,E378)</f>
        <v>CASH SALE</v>
      </c>
      <c r="G378" t="s" s="19">
        <v>9</v>
      </c>
      <c r="H378" s="20">
        <v>2500</v>
      </c>
      <c r="I378" s="20">
        <v>5.5</v>
      </c>
      <c r="J378" s="20">
        <v>2500</v>
      </c>
      <c r="K378" t="s" s="19">
        <v>374</v>
      </c>
      <c r="L378" t="s" s="19">
        <v>11</v>
      </c>
      <c r="M378" t="str" s="18" cm="1">
        <f t="array" ref="M378">IF(F378="CASH SALE",K378,F378)</f>
        <v>BORKAR NIM</v>
      </c>
    </row>
    <row r="379" ht="22.8" customHeight="1">
      <c r="A379" s="14">
        <v>45768</v>
      </c>
      <c r="B379" s="15">
        <v>377</v>
      </c>
      <c r="C379" t="s" s="21">
        <v>74</v>
      </c>
      <c r="D379" t="s" s="16">
        <v>75</v>
      </c>
      <c r="E379" s="17"/>
      <c r="F379" t="str" s="18" cm="1">
        <f t="array" ref="F379">_xlfn.TEXTJOIN(" ",1,C379,D379,E379)</f>
        <v>CASH SALE</v>
      </c>
      <c r="G379" t="s" s="19">
        <v>9</v>
      </c>
      <c r="H379" s="20">
        <v>3000</v>
      </c>
      <c r="I379" s="20">
        <v>6</v>
      </c>
      <c r="J379" s="20">
        <v>3000</v>
      </c>
      <c r="K379" t="s" s="19">
        <v>491</v>
      </c>
      <c r="L379" t="s" s="19">
        <v>27</v>
      </c>
      <c r="M379" t="str" s="18" cm="1">
        <f t="array" ref="M379">IF(F379="CASH SALE",K379,F379)</f>
        <v>RAMESH PAI</v>
      </c>
    </row>
    <row r="380" ht="22.8" customHeight="1">
      <c r="A380" s="14">
        <v>45768</v>
      </c>
      <c r="B380" s="15">
        <v>378</v>
      </c>
      <c r="C380" t="s" s="21">
        <v>74</v>
      </c>
      <c r="D380" t="s" s="16">
        <v>75</v>
      </c>
      <c r="E380" s="17"/>
      <c r="F380" t="str" s="18" cm="1">
        <f t="array" ref="F380">_xlfn.TEXTJOIN(" ",1,C380,D380,E380)</f>
        <v>CASH SALE</v>
      </c>
      <c r="G380" t="s" s="19">
        <v>9</v>
      </c>
      <c r="H380" s="20">
        <v>3000</v>
      </c>
      <c r="I380" s="20">
        <v>5.25</v>
      </c>
      <c r="J380" s="20">
        <v>3000</v>
      </c>
      <c r="K380" t="s" s="19">
        <v>493</v>
      </c>
      <c r="L380" t="s" s="19">
        <v>27</v>
      </c>
      <c r="M380" t="str" s="18" cm="1">
        <f t="array" ref="M380">IF(F380="CASH SALE",K380,F380)</f>
        <v>GHANSHYAM</v>
      </c>
    </row>
    <row r="381" ht="22.8" customHeight="1">
      <c r="A381" s="14">
        <v>45768</v>
      </c>
      <c r="B381" s="15">
        <v>379</v>
      </c>
      <c r="C381" t="s" s="16">
        <v>136</v>
      </c>
      <c r="D381" s="17"/>
      <c r="E381" s="17"/>
      <c r="F381" t="str" s="18" cm="1">
        <f t="array" ref="F381">_xlfn.TEXTJOIN(" ",1,C381,D381,E381)</f>
        <v>AVINASH UADE</v>
      </c>
      <c r="G381" t="s" s="19">
        <v>9</v>
      </c>
      <c r="H381" s="20">
        <v>1500</v>
      </c>
      <c r="I381" s="20">
        <v>4.5</v>
      </c>
      <c r="J381" s="20">
        <v>1500</v>
      </c>
      <c r="K381" t="s" s="19">
        <v>104</v>
      </c>
      <c r="L381" t="s" s="19">
        <v>35</v>
      </c>
      <c r="M381" t="str" s="18" cm="1">
        <f t="array" ref="M381">IF(F381="CASH SALE",K381,F381)</f>
        <v>AVINASH UADE</v>
      </c>
    </row>
    <row r="382" ht="22.8" customHeight="1">
      <c r="A382" s="14">
        <v>45768</v>
      </c>
      <c r="B382" s="15">
        <v>380</v>
      </c>
      <c r="C382" t="s" s="16">
        <v>7</v>
      </c>
      <c r="D382" s="17"/>
      <c r="E382" s="17"/>
      <c r="F382" t="str" s="18" cm="1">
        <f t="array" ref="F382">_xlfn.TEXTJOIN(" ",1,C382,D382,E382)</f>
        <v>CASH SALE</v>
      </c>
      <c r="G382" t="s" s="19">
        <v>9</v>
      </c>
      <c r="H382" s="20">
        <v>1500</v>
      </c>
      <c r="I382" s="20">
        <v>4.7</v>
      </c>
      <c r="J382" s="20">
        <v>1500</v>
      </c>
      <c r="K382" t="s" s="19">
        <v>495</v>
      </c>
      <c r="L382" t="s" s="19">
        <v>35</v>
      </c>
      <c r="M382" t="str" s="18" cm="1">
        <f t="array" ref="M382">IF(F382="CASH SALE",K382,F382)</f>
        <v>VIJAY WASE</v>
      </c>
    </row>
    <row r="383" ht="22.8" customHeight="1">
      <c r="A383" s="14">
        <v>45768</v>
      </c>
      <c r="B383" s="15">
        <v>381</v>
      </c>
      <c r="C383" t="s" s="16">
        <v>23</v>
      </c>
      <c r="D383" s="17"/>
      <c r="E383" s="17"/>
      <c r="F383" t="str" s="18" cm="1">
        <f t="array" ref="F383">_xlfn.TEXTJOIN(" ",1,C383,D383,E383)</f>
        <v>CANCAL D M</v>
      </c>
      <c r="G383" t="s" s="19">
        <v>25</v>
      </c>
      <c r="H383" s="20">
        <v>1</v>
      </c>
      <c r="I383" s="20">
        <v>1</v>
      </c>
      <c r="J383" s="20">
        <v>1</v>
      </c>
      <c r="K383" s="18"/>
      <c r="L383" s="18"/>
      <c r="M383" t="str" s="18" cm="1">
        <f t="array" ref="M383">IF(F383="CASH SALE",K383,F383)</f>
        <v>CANCAL D M</v>
      </c>
    </row>
    <row r="384" ht="22.8" customHeight="1">
      <c r="A384" s="14">
        <v>45768</v>
      </c>
      <c r="B384" s="15">
        <v>382</v>
      </c>
      <c r="C384" t="s" s="16">
        <v>7</v>
      </c>
      <c r="D384" s="17"/>
      <c r="E384" s="17"/>
      <c r="F384" t="str" s="18" cm="1">
        <f t="array" ref="F384">_xlfn.TEXTJOIN(" ",1,C384,D384,E384)</f>
        <v>CASH SALE</v>
      </c>
      <c r="G384" t="s" s="19">
        <v>9</v>
      </c>
      <c r="H384" s="20">
        <v>1500</v>
      </c>
      <c r="I384" s="20">
        <v>4.6</v>
      </c>
      <c r="J384" s="20">
        <v>1500</v>
      </c>
      <c r="K384" t="s" s="19">
        <v>497</v>
      </c>
      <c r="L384" t="s" s="19">
        <v>42</v>
      </c>
      <c r="M384" t="str" s="18" cm="1">
        <f t="array" ref="M384">IF(F384="CASH SALE",K384,F384)</f>
        <v>PARMESHWAR</v>
      </c>
    </row>
    <row r="385" ht="22.8" customHeight="1">
      <c r="A385" s="14">
        <v>45768</v>
      </c>
      <c r="B385" s="15">
        <v>383</v>
      </c>
      <c r="C385" t="s" s="16">
        <v>307</v>
      </c>
      <c r="D385" s="17"/>
      <c r="E385" s="17"/>
      <c r="F385" t="str" s="18" cm="1">
        <f t="array" ref="F385">_xlfn.TEXTJOIN(" ",1,C385,D385,E385)</f>
        <v>RAVINDRA OHOD</v>
      </c>
      <c r="G385" t="s" s="19">
        <v>9</v>
      </c>
      <c r="H385" s="20">
        <v>1500</v>
      </c>
      <c r="I385" s="20">
        <v>4.7</v>
      </c>
      <c r="J385" s="20">
        <v>1500</v>
      </c>
      <c r="K385" t="s" s="19">
        <v>38</v>
      </c>
      <c r="L385" t="s" s="19">
        <v>455</v>
      </c>
      <c r="M385" t="str" s="18" cm="1">
        <f t="array" ref="M385">IF(F385="CASH SALE",K385,F385)</f>
        <v>RAVINDRA OHOD</v>
      </c>
    </row>
    <row r="386" ht="22.8" customHeight="1">
      <c r="A386" s="14">
        <v>45768</v>
      </c>
      <c r="B386" s="15">
        <v>384</v>
      </c>
      <c r="C386" t="s" s="16">
        <v>7</v>
      </c>
      <c r="D386" s="17"/>
      <c r="E386" s="17"/>
      <c r="F386" t="str" s="18" cm="1">
        <f t="array" ref="F386">_xlfn.TEXTJOIN(" ",1,C386,D386,E386)</f>
        <v>CASH SALE</v>
      </c>
      <c r="G386" t="s" s="19">
        <v>9</v>
      </c>
      <c r="H386" s="20">
        <v>1500</v>
      </c>
      <c r="I386" s="20">
        <v>4.6</v>
      </c>
      <c r="J386" s="20">
        <v>1500</v>
      </c>
      <c r="K386" t="s" s="19">
        <v>438</v>
      </c>
      <c r="L386" t="s" s="19">
        <v>455</v>
      </c>
      <c r="M386" t="str" s="18" cm="1">
        <f t="array" ref="M386">IF(F386="CASH SALE",K386,F386)</f>
        <v>PARAM NIKU</v>
      </c>
    </row>
    <row r="387" ht="22.8" customHeight="1">
      <c r="A387" s="14">
        <v>45768</v>
      </c>
      <c r="B387" s="15">
        <v>385</v>
      </c>
      <c r="C387" t="s" s="16">
        <v>7</v>
      </c>
      <c r="D387" s="17"/>
      <c r="E387" s="17"/>
      <c r="F387" t="str" s="18" cm="1">
        <f t="array" ref="F387">_xlfn.TEXTJOIN(" ",1,C387,D387,E387)</f>
        <v>CASH SALE</v>
      </c>
      <c r="G387" t="s" s="19">
        <v>9</v>
      </c>
      <c r="H387" s="20">
        <v>1500</v>
      </c>
      <c r="I387" s="20">
        <v>4.67</v>
      </c>
      <c r="J387" s="20">
        <v>1500</v>
      </c>
      <c r="K387" t="s" s="19">
        <v>499</v>
      </c>
      <c r="L387" t="s" s="19">
        <v>42</v>
      </c>
      <c r="M387" t="str" s="18" cm="1">
        <f t="array" ref="M387">IF(F387="CASH SALE",K387,F387)</f>
        <v>IJAT KHAN</v>
      </c>
    </row>
    <row r="388" ht="22.8" customHeight="1">
      <c r="A388" s="14">
        <v>45768</v>
      </c>
      <c r="B388" s="15">
        <v>386</v>
      </c>
      <c r="C388" t="s" s="16">
        <v>289</v>
      </c>
      <c r="D388" s="17"/>
      <c r="E388" s="17"/>
      <c r="F388" t="str" s="18" cm="1">
        <f t="array" ref="F388">_xlfn.TEXTJOIN(" ",1,C388,D388,E388)</f>
        <v>WADKAR SAHEB</v>
      </c>
      <c r="G388" t="s" s="19">
        <v>9</v>
      </c>
      <c r="H388" s="20">
        <v>1500</v>
      </c>
      <c r="I388" s="20">
        <v>4.7</v>
      </c>
      <c r="J388" s="20">
        <v>1500</v>
      </c>
      <c r="K388" t="s" s="19">
        <v>173</v>
      </c>
      <c r="L388" t="s" s="19">
        <v>455</v>
      </c>
      <c r="M388" t="str" s="18" cm="1">
        <f t="array" ref="M388">IF(F388="CASH SALE",K388,F388)</f>
        <v>WADKAR SAHEB</v>
      </c>
    </row>
    <row r="389" ht="22.8" customHeight="1">
      <c r="A389" s="14">
        <v>45768</v>
      </c>
      <c r="B389" s="15">
        <v>387</v>
      </c>
      <c r="C389" t="s" s="16">
        <v>46</v>
      </c>
      <c r="D389" s="17"/>
      <c r="E389" s="17"/>
      <c r="F389" t="str" s="18" cm="1">
        <f t="array" ref="F389">_xlfn.TEXTJOIN(" ",1,C389,D389,E389)</f>
        <v>ARYAN BUILDERS</v>
      </c>
      <c r="G389" t="s" s="19">
        <v>9</v>
      </c>
      <c r="H389" s="20">
        <v>1500</v>
      </c>
      <c r="I389" s="20">
        <v>4.5</v>
      </c>
      <c r="J389" s="20">
        <v>1500</v>
      </c>
      <c r="K389" t="s" s="19">
        <v>48</v>
      </c>
      <c r="L389" t="s" s="19">
        <v>35</v>
      </c>
      <c r="M389" t="str" s="18" cm="1">
        <f t="array" ref="M389">IF(F389="CASH SALE",K389,F389)</f>
        <v>ARYAN BUILDERS</v>
      </c>
    </row>
    <row r="390" ht="22.8" customHeight="1">
      <c r="A390" s="14">
        <v>45768</v>
      </c>
      <c r="B390" s="15">
        <v>388</v>
      </c>
      <c r="C390" t="s" s="16">
        <v>289</v>
      </c>
      <c r="D390" s="17"/>
      <c r="E390" s="17"/>
      <c r="F390" t="str" s="18" cm="1">
        <f t="array" ref="F390">_xlfn.TEXTJOIN(" ",1,C390,D390,E390)</f>
        <v>WADKAR SAHEB</v>
      </c>
      <c r="G390" t="s" s="19">
        <v>9</v>
      </c>
      <c r="H390" s="20">
        <v>1500</v>
      </c>
      <c r="I390" s="20">
        <v>4.7</v>
      </c>
      <c r="J390" s="20">
        <v>1500</v>
      </c>
      <c r="K390" t="s" s="19">
        <v>173</v>
      </c>
      <c r="L390" t="s" s="19">
        <v>42</v>
      </c>
      <c r="M390" t="str" s="18" cm="1">
        <f t="array" ref="M390">IF(F390="CASH SALE",K390,F390)</f>
        <v>WADKAR SAHEB</v>
      </c>
    </row>
    <row r="391" ht="22.8" customHeight="1">
      <c r="A391" s="14">
        <v>45768</v>
      </c>
      <c r="B391" s="15">
        <v>389</v>
      </c>
      <c r="C391" t="s" s="16">
        <v>501</v>
      </c>
      <c r="D391" s="17"/>
      <c r="E391" s="17"/>
      <c r="F391" t="str" s="18" cm="1">
        <f t="array" ref="F391">_xlfn.TEXTJOIN(" ",1,C391,D391,E391)</f>
        <v>AAKASH JANAVE</v>
      </c>
      <c r="G391" t="s" s="19">
        <v>9</v>
      </c>
      <c r="H391" s="20">
        <v>1500</v>
      </c>
      <c r="I391" s="20">
        <v>4.6</v>
      </c>
      <c r="J391" s="20">
        <v>1500</v>
      </c>
      <c r="K391" t="s" s="19">
        <v>503</v>
      </c>
      <c r="L391" t="s" s="19">
        <v>455</v>
      </c>
      <c r="M391" t="str" s="18" cm="1">
        <f t="array" ref="M391">IF(F391="CASH SALE",K391,F391)</f>
        <v>AAKASH JANAVE</v>
      </c>
    </row>
    <row r="392" ht="22.8" customHeight="1">
      <c r="A392" s="14">
        <v>45768</v>
      </c>
      <c r="B392" s="15">
        <v>390</v>
      </c>
      <c r="C392" t="s" s="16">
        <v>102</v>
      </c>
      <c r="D392" s="17"/>
      <c r="E392" s="17"/>
      <c r="F392" t="str" s="18" cm="1">
        <f t="array" ref="F392">_xlfn.TEXTJOIN(" ",1,C392,D392,E392)</f>
        <v>SUJAL CHANDANKHEDE</v>
      </c>
      <c r="G392" t="s" s="19">
        <v>9</v>
      </c>
      <c r="H392" s="20">
        <v>1500</v>
      </c>
      <c r="I392" s="20">
        <v>4.5</v>
      </c>
      <c r="J392" s="20">
        <v>1500</v>
      </c>
      <c r="K392" t="s" s="19">
        <v>57</v>
      </c>
      <c r="L392" t="s" s="19">
        <v>35</v>
      </c>
      <c r="M392" t="str" s="18" cm="1">
        <f t="array" ref="M392">IF(F392="CASH SALE",K392,F392)</f>
        <v>SUJAL CHANDANKHEDE</v>
      </c>
    </row>
    <row r="393" ht="22.8" customHeight="1">
      <c r="A393" s="14">
        <v>45768</v>
      </c>
      <c r="B393" s="15">
        <v>391</v>
      </c>
      <c r="C393" t="s" s="16">
        <v>296</v>
      </c>
      <c r="D393" s="17"/>
      <c r="E393" s="17"/>
      <c r="F393" t="str" s="18" cm="1">
        <f t="array" ref="F393">_xlfn.TEXTJOIN(" ",1,C393,D393,E393)</f>
        <v>PRAMOD PUNYAPAWAR</v>
      </c>
      <c r="G393" t="s" s="19">
        <v>9</v>
      </c>
      <c r="H393" s="20">
        <v>1500</v>
      </c>
      <c r="I393" s="20">
        <v>4.4</v>
      </c>
      <c r="J393" s="20">
        <v>1500</v>
      </c>
      <c r="K393" t="s" s="19">
        <v>238</v>
      </c>
      <c r="L393" t="s" s="19">
        <v>42</v>
      </c>
      <c r="M393" t="str" s="18" cm="1">
        <f t="array" ref="M393">IF(F393="CASH SALE",K393,F393)</f>
        <v>PRAMOD PUNYAPAWAR</v>
      </c>
    </row>
    <row r="394" ht="22.8" customHeight="1">
      <c r="A394" s="14">
        <v>45769</v>
      </c>
      <c r="B394" s="15">
        <v>392</v>
      </c>
      <c r="C394" t="s" s="16">
        <v>7</v>
      </c>
      <c r="D394" s="17"/>
      <c r="E394" s="17"/>
      <c r="F394" t="str" s="18" cm="1">
        <f t="array" ref="F394">_xlfn.TEXTJOIN(" ",1,C394,D394,E394)</f>
        <v>CASH SALE</v>
      </c>
      <c r="G394" t="s" s="19">
        <v>9</v>
      </c>
      <c r="H394" s="20">
        <v>4000</v>
      </c>
      <c r="I394" s="20">
        <v>5.75</v>
      </c>
      <c r="J394" s="20">
        <v>4000</v>
      </c>
      <c r="K394" t="s" s="19">
        <v>504</v>
      </c>
      <c r="L394" t="s" s="19">
        <v>21</v>
      </c>
      <c r="M394" t="str" s="18" cm="1">
        <f t="array" ref="M394">IF(F394="CASH SALE",K394,F394)</f>
        <v>MAYA BHOYA</v>
      </c>
    </row>
    <row r="395" ht="22.8" customHeight="1">
      <c r="A395" s="14">
        <v>45769</v>
      </c>
      <c r="B395" s="15">
        <v>393</v>
      </c>
      <c r="C395" t="s" s="16">
        <v>7</v>
      </c>
      <c r="D395" s="17"/>
      <c r="E395" s="17"/>
      <c r="F395" t="str" s="18" cm="1">
        <f t="array" ref="F395">_xlfn.TEXTJOIN(" ",1,C395,D395,E395)</f>
        <v>CASH SALE</v>
      </c>
      <c r="G395" t="s" s="19">
        <v>9</v>
      </c>
      <c r="H395" s="20">
        <v>4000</v>
      </c>
      <c r="I395" s="20">
        <v>5.25</v>
      </c>
      <c r="J395" s="20">
        <v>4000</v>
      </c>
      <c r="K395" t="s" s="19">
        <v>506</v>
      </c>
      <c r="L395" t="s" s="19">
        <v>21</v>
      </c>
      <c r="M395" t="str" s="18" cm="1">
        <f t="array" ref="M395">IF(F395="CASH SALE",K395,F395)</f>
        <v>SAINATH BH</v>
      </c>
    </row>
    <row r="396" ht="22.8" customHeight="1">
      <c r="A396" s="14">
        <v>45769</v>
      </c>
      <c r="B396" s="15">
        <v>394</v>
      </c>
      <c r="C396" t="s" s="16">
        <v>7</v>
      </c>
      <c r="D396" s="17"/>
      <c r="E396" s="17"/>
      <c r="F396" t="str" s="18" cm="1">
        <f t="array" ref="F396">_xlfn.TEXTJOIN(" ",1,C396,D396,E396)</f>
        <v>CASH SALE</v>
      </c>
      <c r="G396" t="s" s="19">
        <v>9</v>
      </c>
      <c r="H396" s="20">
        <v>4000</v>
      </c>
      <c r="I396" s="20">
        <v>6</v>
      </c>
      <c r="J396" s="20">
        <v>4000</v>
      </c>
      <c r="K396" t="s" s="19">
        <v>88</v>
      </c>
      <c r="L396" t="s" s="19">
        <v>16</v>
      </c>
      <c r="M396" t="str" s="18" cm="1">
        <f t="array" ref="M396">IF(F396="CASH SALE",K396,F396)</f>
        <v>DILIP MYAK</v>
      </c>
    </row>
    <row r="397" ht="23.15" customHeight="1">
      <c r="A397" s="22">
        <v>45769</v>
      </c>
      <c r="B397" s="23">
        <v>395</v>
      </c>
      <c r="C397" t="s" s="24">
        <v>7</v>
      </c>
      <c r="D397" s="25"/>
      <c r="E397" s="25"/>
      <c r="F397" t="str" s="26" cm="1">
        <f t="array" ref="F397">_xlfn.TEXTJOIN(" ",1,C397,D397,E397)</f>
        <v>CASH SALE</v>
      </c>
      <c r="G397" t="s" s="27">
        <v>9</v>
      </c>
      <c r="H397" s="28">
        <v>4000</v>
      </c>
      <c r="I397" s="28">
        <v>5.5</v>
      </c>
      <c r="J397" s="28">
        <v>4000</v>
      </c>
      <c r="K397" t="s" s="27">
        <v>508</v>
      </c>
      <c r="L397" t="s" s="27">
        <v>16</v>
      </c>
      <c r="M397" t="str" s="26" cm="1">
        <f t="array" ref="M397">IF(F397="CASH SALE",K397,F397)</f>
        <v>CHANDRAKAN</v>
      </c>
    </row>
    <row r="398" ht="23.15" customHeight="1">
      <c r="A398" s="7">
        <v>45769</v>
      </c>
      <c r="B398" s="8">
        <v>396</v>
      </c>
      <c r="C398" t="s" s="9">
        <v>7</v>
      </c>
      <c r="D398" s="10"/>
      <c r="E398" s="10"/>
      <c r="F398" t="str" s="11" cm="1">
        <f t="array" ref="F398">_xlfn.TEXTJOIN(" ",1,C398,D398,E398)</f>
        <v>CASH SALE</v>
      </c>
      <c r="G398" t="s" s="12">
        <v>9</v>
      </c>
      <c r="H398" s="13">
        <v>2500</v>
      </c>
      <c r="I398" s="13">
        <v>5.75</v>
      </c>
      <c r="J398" s="13">
        <v>2500</v>
      </c>
      <c r="K398" t="s" s="12">
        <v>281</v>
      </c>
      <c r="L398" t="s" s="12">
        <v>11</v>
      </c>
      <c r="M398" t="str" s="11" cm="1">
        <f t="array" ref="M398">IF(F398="CASH SALE",K398,F398)</f>
        <v>BHUMAREDDY</v>
      </c>
    </row>
    <row r="399" ht="22.8" customHeight="1">
      <c r="A399" s="14">
        <v>45769</v>
      </c>
      <c r="B399" s="15">
        <v>397</v>
      </c>
      <c r="C399" t="s" s="16">
        <v>7</v>
      </c>
      <c r="D399" s="17"/>
      <c r="E399" s="17"/>
      <c r="F399" t="str" s="18" cm="1">
        <f t="array" ref="F399">_xlfn.TEXTJOIN(" ",1,C399,D399,E399)</f>
        <v>CASH SALE</v>
      </c>
      <c r="G399" t="s" s="19">
        <v>9</v>
      </c>
      <c r="H399" s="20">
        <v>2500</v>
      </c>
      <c r="I399" s="20">
        <v>5.5</v>
      </c>
      <c r="J399" s="20">
        <v>2500</v>
      </c>
      <c r="K399" t="s" s="19">
        <v>510</v>
      </c>
      <c r="L399" t="s" s="19">
        <v>11</v>
      </c>
      <c r="M399" t="str" s="18" cm="1">
        <f t="array" ref="M399">IF(F399="CASH SALE",K399,F399)</f>
        <v>SURSH BUCC</v>
      </c>
    </row>
    <row r="400" ht="22.8" customHeight="1">
      <c r="A400" s="14">
        <v>45769</v>
      </c>
      <c r="B400" s="15">
        <v>398</v>
      </c>
      <c r="C400" t="s" s="16">
        <v>7</v>
      </c>
      <c r="D400" s="17"/>
      <c r="E400" s="17"/>
      <c r="F400" t="str" s="18" cm="1">
        <f t="array" ref="F400">_xlfn.TEXTJOIN(" ",1,C400,D400,E400)</f>
        <v>CASH SALE</v>
      </c>
      <c r="G400" t="s" s="19">
        <v>9</v>
      </c>
      <c r="H400" s="20">
        <v>3000</v>
      </c>
      <c r="I400" s="20">
        <v>6</v>
      </c>
      <c r="J400" s="20">
        <v>3000</v>
      </c>
      <c r="K400" t="s" s="19">
        <v>512</v>
      </c>
      <c r="L400" t="s" s="19">
        <v>27</v>
      </c>
      <c r="M400" t="str" s="18" cm="1">
        <f t="array" ref="M400">IF(F400="CASH SALE",K400,F400)</f>
        <v>MADIKUNTAW</v>
      </c>
    </row>
    <row r="401" ht="22.8" customHeight="1">
      <c r="A401" s="14">
        <v>45769</v>
      </c>
      <c r="B401" s="15">
        <v>399</v>
      </c>
      <c r="C401" t="s" s="16">
        <v>23</v>
      </c>
      <c r="D401" s="17"/>
      <c r="E401" s="17"/>
      <c r="F401" t="str" s="18" cm="1">
        <f t="array" ref="F401">_xlfn.TEXTJOIN(" ",1,C401,D401,E401)</f>
        <v>CANCAL D M</v>
      </c>
      <c r="G401" t="s" s="19">
        <v>25</v>
      </c>
      <c r="H401" s="20">
        <v>1</v>
      </c>
      <c r="I401" s="20">
        <v>1</v>
      </c>
      <c r="J401" s="20">
        <v>1</v>
      </c>
      <c r="K401" s="18"/>
      <c r="L401" s="18"/>
      <c r="M401" t="str" s="18" cm="1">
        <f t="array" ref="M401">IF(F401="CASH SALE",K401,F401)</f>
        <v>CANCAL D M</v>
      </c>
    </row>
    <row r="402" ht="22.8" customHeight="1">
      <c r="A402" s="14">
        <v>45769</v>
      </c>
      <c r="B402" s="15">
        <v>400</v>
      </c>
      <c r="C402" t="s" s="16">
        <v>163</v>
      </c>
      <c r="D402" s="17"/>
      <c r="E402" s="17"/>
      <c r="F402" t="str" s="18" cm="1">
        <f t="array" ref="F402">_xlfn.TEXTJOIN(" ",1,C402,D402,E402)</f>
        <v>KISHOR AATRAM</v>
      </c>
      <c r="G402" t="s" s="19">
        <v>9</v>
      </c>
      <c r="H402" s="20">
        <v>1500</v>
      </c>
      <c r="I402" s="20">
        <v>4.4</v>
      </c>
      <c r="J402" s="20">
        <v>1500</v>
      </c>
      <c r="K402" t="s" s="19">
        <v>104</v>
      </c>
      <c r="L402" t="s" s="19">
        <v>42</v>
      </c>
      <c r="M402" t="str" s="18" cm="1">
        <f t="array" ref="M402">IF(F402="CASH SALE",K402,F402)</f>
        <v>KISHOR AATRAM</v>
      </c>
    </row>
    <row r="403" ht="22.8" customHeight="1">
      <c r="A403" s="14">
        <v>45769</v>
      </c>
      <c r="B403" s="15">
        <v>401</v>
      </c>
      <c r="C403" t="s" s="16">
        <v>7</v>
      </c>
      <c r="D403" s="17"/>
      <c r="E403" s="17"/>
      <c r="F403" t="str" s="18" cm="1">
        <f t="array" ref="F403">_xlfn.TEXTJOIN(" ",1,C403,D403,E403)</f>
        <v>CASH SALE</v>
      </c>
      <c r="G403" t="s" s="19">
        <v>9</v>
      </c>
      <c r="H403" s="20">
        <v>1500</v>
      </c>
      <c r="I403" s="20">
        <v>4.8</v>
      </c>
      <c r="J403" s="20">
        <v>1500</v>
      </c>
      <c r="K403" t="s" s="19">
        <v>514</v>
      </c>
      <c r="L403" t="s" s="19">
        <v>42</v>
      </c>
      <c r="M403" t="str" s="18" cm="1">
        <f t="array" ref="M403">IF(F403="CASH SALE",K403,F403)</f>
        <v>SUDHAKAR N</v>
      </c>
    </row>
    <row r="404" ht="22.8" customHeight="1">
      <c r="A404" s="14">
        <v>45769</v>
      </c>
      <c r="B404" s="15">
        <v>402</v>
      </c>
      <c r="C404" t="s" s="16">
        <v>7</v>
      </c>
      <c r="D404" s="17"/>
      <c r="E404" s="17"/>
      <c r="F404" t="str" s="18" cm="1">
        <f t="array" ref="F404">_xlfn.TEXTJOIN(" ",1,C404,D404,E404)</f>
        <v>CASH SALE</v>
      </c>
      <c r="G404" t="s" s="19">
        <v>9</v>
      </c>
      <c r="H404" s="20">
        <v>1500</v>
      </c>
      <c r="I404" s="20">
        <v>4.8</v>
      </c>
      <c r="J404" s="20">
        <v>1500</v>
      </c>
      <c r="K404" t="s" s="19">
        <v>516</v>
      </c>
      <c r="L404" t="s" s="19">
        <v>35</v>
      </c>
      <c r="M404" t="str" s="18" cm="1">
        <f t="array" ref="M404">IF(F404="CASH SALE",K404,F404)</f>
        <v>KARAMARKAR</v>
      </c>
    </row>
    <row r="405" ht="22.8" customHeight="1">
      <c r="A405" s="14">
        <v>45769</v>
      </c>
      <c r="B405" s="15">
        <v>403</v>
      </c>
      <c r="C405" t="s" s="16">
        <v>23</v>
      </c>
      <c r="D405" s="17"/>
      <c r="E405" s="17"/>
      <c r="F405" t="str" s="18" cm="1">
        <f t="array" ref="F405">_xlfn.TEXTJOIN(" ",1,C405,D405,E405)</f>
        <v>CANCAL D M</v>
      </c>
      <c r="G405" t="s" s="19">
        <v>25</v>
      </c>
      <c r="H405" s="20">
        <v>1</v>
      </c>
      <c r="I405" s="20">
        <v>1</v>
      </c>
      <c r="J405" s="20">
        <v>1</v>
      </c>
      <c r="K405" s="18"/>
      <c r="L405" s="18"/>
      <c r="M405" t="str" s="18" cm="1">
        <f t="array" ref="M405">IF(F405="CASH SALE",K405,F405)</f>
        <v>CANCAL D M</v>
      </c>
    </row>
    <row r="406" ht="22.8" customHeight="1">
      <c r="A406" s="14">
        <v>45769</v>
      </c>
      <c r="B406" s="15">
        <v>404</v>
      </c>
      <c r="C406" t="s" s="16">
        <v>7</v>
      </c>
      <c r="D406" s="17"/>
      <c r="E406" s="17"/>
      <c r="F406" t="str" s="18" cm="1">
        <f t="array" ref="F406">_xlfn.TEXTJOIN(" ",1,C406,D406,E406)</f>
        <v>CASH SALE</v>
      </c>
      <c r="G406" t="s" s="19">
        <v>9</v>
      </c>
      <c r="H406" s="20">
        <v>3000</v>
      </c>
      <c r="I406" s="20">
        <v>5.5</v>
      </c>
      <c r="J406" s="20">
        <v>3000</v>
      </c>
      <c r="K406" t="s" s="19">
        <v>128</v>
      </c>
      <c r="L406" t="s" s="19">
        <v>27</v>
      </c>
      <c r="M406" t="str" s="18" cm="1">
        <f t="array" ref="M406">IF(F406="CASH SALE",K406,F406)</f>
        <v>KURAWATKAR</v>
      </c>
    </row>
    <row r="407" ht="22.8" customHeight="1">
      <c r="A407" s="14">
        <v>45769</v>
      </c>
      <c r="B407" s="15">
        <v>405</v>
      </c>
      <c r="C407" t="s" s="16">
        <v>359</v>
      </c>
      <c r="D407" s="17"/>
      <c r="E407" s="17"/>
      <c r="F407" t="str" s="18" cm="1">
        <f t="array" ref="F407">_xlfn.TEXTJOIN(" ",1,C407,D407,E407)</f>
        <v>KEWAL THEKEDAR</v>
      </c>
      <c r="G407" t="s" s="19">
        <v>9</v>
      </c>
      <c r="H407" s="20">
        <v>1500</v>
      </c>
      <c r="I407" s="20">
        <v>4.5</v>
      </c>
      <c r="J407" s="20">
        <v>1500</v>
      </c>
      <c r="K407" t="s" s="19">
        <v>361</v>
      </c>
      <c r="L407" t="s" s="19">
        <v>35</v>
      </c>
      <c r="M407" t="str" s="18" cm="1">
        <f t="array" ref="M407">IF(F407="CASH SALE",K407,F407)</f>
        <v>KEWAL THEKEDAR</v>
      </c>
    </row>
    <row r="408" ht="22.8" customHeight="1">
      <c r="A408" s="14">
        <v>45769</v>
      </c>
      <c r="B408" s="15">
        <v>406</v>
      </c>
      <c r="C408" t="s" s="16">
        <v>46</v>
      </c>
      <c r="D408" s="17"/>
      <c r="E408" s="17"/>
      <c r="F408" t="str" s="18" cm="1">
        <f t="array" ref="F408">_xlfn.TEXTJOIN(" ",1,C408,D408,E408)</f>
        <v>ARYAN BUILDERS</v>
      </c>
      <c r="G408" t="s" s="19">
        <v>9</v>
      </c>
      <c r="H408" s="20">
        <v>1500</v>
      </c>
      <c r="I408" s="20">
        <v>4.5</v>
      </c>
      <c r="J408" s="20">
        <v>1500</v>
      </c>
      <c r="K408" t="s" s="19">
        <v>48</v>
      </c>
      <c r="L408" t="s" s="19">
        <v>42</v>
      </c>
      <c r="M408" t="str" s="18" cm="1">
        <f t="array" ref="M408">IF(F408="CASH SALE",K408,F408)</f>
        <v>ARYAN BUILDERS</v>
      </c>
    </row>
    <row r="409" ht="22.8" customHeight="1">
      <c r="A409" s="14">
        <v>45769</v>
      </c>
      <c r="B409" s="15">
        <v>407</v>
      </c>
      <c r="C409" t="s" s="16">
        <v>102</v>
      </c>
      <c r="D409" s="17"/>
      <c r="E409" s="17"/>
      <c r="F409" t="str" s="18" cm="1">
        <f t="array" ref="F409">_xlfn.TEXTJOIN(" ",1,C409,D409,E409)</f>
        <v>SUJAL CHANDANKHEDE</v>
      </c>
      <c r="G409" t="s" s="19">
        <v>9</v>
      </c>
      <c r="H409" s="20">
        <v>1500</v>
      </c>
      <c r="I409" s="20">
        <v>4.5</v>
      </c>
      <c r="J409" s="20">
        <v>1500</v>
      </c>
      <c r="K409" t="s" s="19">
        <v>57</v>
      </c>
      <c r="L409" t="s" s="19">
        <v>35</v>
      </c>
      <c r="M409" t="str" s="18" cm="1">
        <f t="array" ref="M409">IF(F409="CASH SALE",K409,F409)</f>
        <v>SUJAL CHANDANKHEDE</v>
      </c>
    </row>
    <row r="410" ht="22.8" customHeight="1">
      <c r="A410" s="14">
        <v>45770</v>
      </c>
      <c r="B410" s="15">
        <v>408</v>
      </c>
      <c r="C410" t="s" s="16">
        <v>7</v>
      </c>
      <c r="D410" s="17"/>
      <c r="E410" s="17"/>
      <c r="F410" t="str" s="18" cm="1">
        <f t="array" ref="F410">_xlfn.TEXTJOIN(" ",1,C410,D410,E410)</f>
        <v>CASH SALE</v>
      </c>
      <c r="G410" t="s" s="19">
        <v>9</v>
      </c>
      <c r="H410" s="20">
        <v>4000</v>
      </c>
      <c r="I410" s="20">
        <v>6.25</v>
      </c>
      <c r="J410" s="20">
        <v>4000</v>
      </c>
      <c r="K410" t="s" s="19">
        <v>518</v>
      </c>
      <c r="L410" t="s" s="19">
        <v>21</v>
      </c>
      <c r="M410" t="str" s="18" cm="1">
        <f t="array" ref="M410">IF(F410="CASH SALE",K410,F410)</f>
        <v>SANTOSH TH</v>
      </c>
    </row>
    <row r="411" ht="22.8" customHeight="1">
      <c r="A411" s="14">
        <v>45770</v>
      </c>
      <c r="B411" s="15">
        <v>409</v>
      </c>
      <c r="C411" t="s" s="16">
        <v>7</v>
      </c>
      <c r="D411" s="17"/>
      <c r="E411" s="17"/>
      <c r="F411" t="str" s="18" cm="1">
        <f t="array" ref="F411">_xlfn.TEXTJOIN(" ",1,C411,D411,E411)</f>
        <v>CASH SALE</v>
      </c>
      <c r="G411" t="s" s="19">
        <v>9</v>
      </c>
      <c r="H411" s="20">
        <v>2500</v>
      </c>
      <c r="I411" s="20">
        <v>6</v>
      </c>
      <c r="J411" s="20">
        <v>2500</v>
      </c>
      <c r="K411" t="s" s="19">
        <v>520</v>
      </c>
      <c r="L411" t="s" s="19">
        <v>11</v>
      </c>
      <c r="M411" t="str" s="18" cm="1">
        <f t="array" ref="M411">IF(F411="CASH SALE",K411,F411)</f>
        <v>DATTU ANGI</v>
      </c>
    </row>
    <row r="412" ht="22.8" customHeight="1">
      <c r="A412" s="14">
        <v>45770</v>
      </c>
      <c r="B412" s="15">
        <v>410</v>
      </c>
      <c r="C412" t="s" s="16">
        <v>7</v>
      </c>
      <c r="D412" s="17"/>
      <c r="E412" s="17"/>
      <c r="F412" t="str" s="18" cm="1">
        <f t="array" ref="F412">_xlfn.TEXTJOIN(" ",1,C412,D412,E412)</f>
        <v>CASH SALE</v>
      </c>
      <c r="G412" t="s" s="19">
        <v>9</v>
      </c>
      <c r="H412" s="20">
        <v>3000</v>
      </c>
      <c r="I412" s="20">
        <v>6</v>
      </c>
      <c r="J412" s="20">
        <v>3000</v>
      </c>
      <c r="K412" t="s" s="19">
        <v>522</v>
      </c>
      <c r="L412" t="s" s="19">
        <v>27</v>
      </c>
      <c r="M412" t="str" s="18" cm="1">
        <f t="array" ref="M412">IF(F412="CASH SALE",K412,F412)</f>
        <v>DATTU ANIL</v>
      </c>
    </row>
    <row r="413" ht="22.8" customHeight="1">
      <c r="A413" s="14">
        <v>45770</v>
      </c>
      <c r="B413" s="15">
        <v>411</v>
      </c>
      <c r="C413" t="s" s="16">
        <v>7</v>
      </c>
      <c r="D413" s="17"/>
      <c r="E413" s="17"/>
      <c r="F413" t="str" s="18" cm="1">
        <f t="array" ref="F413">_xlfn.TEXTJOIN(" ",1,C413,D413,E413)</f>
        <v>CASH SALE</v>
      </c>
      <c r="G413" t="s" s="19">
        <v>9</v>
      </c>
      <c r="H413" s="20">
        <v>4000</v>
      </c>
      <c r="I413" s="20">
        <v>5.75</v>
      </c>
      <c r="J413" s="20">
        <v>4000</v>
      </c>
      <c r="K413" t="s" s="19">
        <v>183</v>
      </c>
      <c r="L413" t="s" s="19">
        <v>16</v>
      </c>
      <c r="M413" t="str" s="18" cm="1">
        <f t="array" ref="M413">IF(F413="CASH SALE",K413,F413)</f>
        <v>YADAO SASA</v>
      </c>
    </row>
    <row r="414" ht="22.8" customHeight="1">
      <c r="A414" s="14">
        <v>45770</v>
      </c>
      <c r="B414" s="15">
        <v>412</v>
      </c>
      <c r="C414" t="s" s="16">
        <v>7</v>
      </c>
      <c r="D414" s="17"/>
      <c r="E414" s="17"/>
      <c r="F414" t="str" s="18" cm="1">
        <f t="array" ref="F414">_xlfn.TEXTJOIN(" ",1,C414,D414,E414)</f>
        <v>CASH SALE</v>
      </c>
      <c r="G414" t="s" s="19">
        <v>9</v>
      </c>
      <c r="H414" s="20">
        <v>1500</v>
      </c>
      <c r="I414" s="20">
        <v>4.6</v>
      </c>
      <c r="J414" s="20">
        <v>1500</v>
      </c>
      <c r="K414" t="s" s="19">
        <v>322</v>
      </c>
      <c r="L414" t="s" s="19">
        <v>35</v>
      </c>
      <c r="M414" t="str" s="18" cm="1">
        <f t="array" ref="M414">IF(F414="CASH SALE",K414,F414)</f>
        <v>SATISH KHA</v>
      </c>
    </row>
    <row r="415" ht="22.8" customHeight="1">
      <c r="A415" s="14">
        <v>45770</v>
      </c>
      <c r="B415" s="15">
        <v>413</v>
      </c>
      <c r="C415" t="s" s="16">
        <v>23</v>
      </c>
      <c r="D415" s="17"/>
      <c r="E415" s="17"/>
      <c r="F415" t="str" s="18" cm="1">
        <f t="array" ref="F415">_xlfn.TEXTJOIN(" ",1,C415,D415,E415)</f>
        <v>CANCAL D M</v>
      </c>
      <c r="G415" t="s" s="19">
        <v>25</v>
      </c>
      <c r="H415" s="20">
        <v>1</v>
      </c>
      <c r="I415" s="20">
        <v>1</v>
      </c>
      <c r="J415" s="20">
        <v>1</v>
      </c>
      <c r="K415" s="18"/>
      <c r="L415" s="18"/>
      <c r="M415" t="str" s="18" cm="1">
        <f t="array" ref="M415">IF(F415="CASH SALE",K415,F415)</f>
        <v>CANCAL D M</v>
      </c>
    </row>
    <row r="416" ht="22.8" customHeight="1">
      <c r="A416" s="14">
        <v>45770</v>
      </c>
      <c r="B416" s="15">
        <v>414</v>
      </c>
      <c r="C416" t="s" s="16">
        <v>23</v>
      </c>
      <c r="D416" s="17"/>
      <c r="E416" s="17"/>
      <c r="F416" t="str" s="18" cm="1">
        <f t="array" ref="F416">_xlfn.TEXTJOIN(" ",1,C416,D416,E416)</f>
        <v>CANCAL D M</v>
      </c>
      <c r="G416" t="s" s="19">
        <v>25</v>
      </c>
      <c r="H416" s="20">
        <v>1</v>
      </c>
      <c r="I416" s="20">
        <v>1</v>
      </c>
      <c r="J416" s="20">
        <v>1</v>
      </c>
      <c r="K416" s="18"/>
      <c r="L416" s="18"/>
      <c r="M416" t="str" s="18" cm="1">
        <f t="array" ref="M416">IF(F416="CASH SALE",K416,F416)</f>
        <v>CANCAL D M</v>
      </c>
    </row>
    <row r="417" ht="22.8" customHeight="1">
      <c r="A417" s="14">
        <v>45770</v>
      </c>
      <c r="B417" s="15">
        <v>415</v>
      </c>
      <c r="C417" t="s" s="16">
        <v>39</v>
      </c>
      <c r="D417" s="17"/>
      <c r="E417" s="17"/>
      <c r="F417" t="str" s="18" cm="1">
        <f t="array" ref="F417">_xlfn.TEXTJOIN(" ",1,C417,D417,E417)</f>
        <v>MANISH TAPASE</v>
      </c>
      <c r="G417" t="s" s="19">
        <v>9</v>
      </c>
      <c r="H417" s="20">
        <v>1500</v>
      </c>
      <c r="I417" s="20">
        <v>4.27</v>
      </c>
      <c r="J417" s="20">
        <v>1500</v>
      </c>
      <c r="K417" t="s" s="19">
        <v>524</v>
      </c>
      <c r="L417" t="s" s="19">
        <v>30</v>
      </c>
      <c r="M417" t="str" s="18" cm="1">
        <f t="array" ref="M417">IF(F417="CASH SALE",K417,F417)</f>
        <v>MANISH TAPASE</v>
      </c>
    </row>
    <row r="418" ht="22.8" customHeight="1">
      <c r="A418" s="14">
        <v>45770</v>
      </c>
      <c r="B418" s="15">
        <v>416</v>
      </c>
      <c r="C418" t="s" s="16">
        <v>307</v>
      </c>
      <c r="D418" s="17"/>
      <c r="E418" s="17"/>
      <c r="F418" t="str" s="18" cm="1">
        <f t="array" ref="F418">_xlfn.TEXTJOIN(" ",1,C418,D418,E418)</f>
        <v>RAVINDRA OHOD</v>
      </c>
      <c r="G418" t="s" s="19">
        <v>9</v>
      </c>
      <c r="H418" s="20">
        <v>1500</v>
      </c>
      <c r="I418" s="20">
        <v>4.7</v>
      </c>
      <c r="J418" s="20">
        <v>1500</v>
      </c>
      <c r="K418" t="s" s="19">
        <v>38</v>
      </c>
      <c r="L418" t="s" s="19">
        <v>30</v>
      </c>
      <c r="M418" t="str" s="18" cm="1">
        <f t="array" ref="M418">IF(F418="CASH SALE",K418,F418)</f>
        <v>RAVINDRA OHOD</v>
      </c>
    </row>
    <row r="419" ht="22.8" customHeight="1">
      <c r="A419" s="14">
        <v>45771</v>
      </c>
      <c r="B419" s="15">
        <v>417</v>
      </c>
      <c r="C419" t="s" s="16">
        <v>7</v>
      </c>
      <c r="D419" s="17"/>
      <c r="E419" s="17"/>
      <c r="F419" t="str" s="18" cm="1">
        <f t="array" ref="F419">_xlfn.TEXTJOIN(" ",1,C419,D419,E419)</f>
        <v>CASH SALE</v>
      </c>
      <c r="G419" t="s" s="19">
        <v>9</v>
      </c>
      <c r="H419" s="20">
        <v>2500</v>
      </c>
      <c r="I419" s="20">
        <v>5.5</v>
      </c>
      <c r="J419" s="20">
        <v>2500</v>
      </c>
      <c r="K419" t="s" s="19">
        <v>525</v>
      </c>
      <c r="L419" t="s" s="19">
        <v>11</v>
      </c>
      <c r="M419" t="str" s="18" cm="1">
        <f t="array" ref="M419">IF(F419="CASH SALE",K419,F419)</f>
        <v>AMOL URKUD</v>
      </c>
    </row>
    <row r="420" ht="22.8" customHeight="1">
      <c r="A420" s="14">
        <v>45771</v>
      </c>
      <c r="B420" s="15">
        <v>418</v>
      </c>
      <c r="C420" t="s" s="16">
        <v>7</v>
      </c>
      <c r="D420" s="17"/>
      <c r="E420" s="17"/>
      <c r="F420" t="str" s="18" cm="1">
        <f t="array" ref="F420">_xlfn.TEXTJOIN(" ",1,C420,D420,E420)</f>
        <v>CASH SALE</v>
      </c>
      <c r="G420" t="s" s="19">
        <v>9</v>
      </c>
      <c r="H420" s="20">
        <v>2500</v>
      </c>
      <c r="I420" s="20">
        <v>5.25</v>
      </c>
      <c r="J420" s="20">
        <v>2500</v>
      </c>
      <c r="K420" t="s" s="19">
        <v>241</v>
      </c>
      <c r="L420" t="s" s="19">
        <v>11</v>
      </c>
      <c r="M420" t="str" s="18" cm="1">
        <f t="array" ref="M420">IF(F420="CASH SALE",K420,F420)</f>
        <v>SURESH BUC</v>
      </c>
    </row>
    <row r="421" ht="22.8" customHeight="1">
      <c r="A421" s="14">
        <v>45771</v>
      </c>
      <c r="B421" s="15">
        <v>419</v>
      </c>
      <c r="C421" t="s" s="16">
        <v>7</v>
      </c>
      <c r="D421" s="17"/>
      <c r="E421" s="17"/>
      <c r="F421" t="str" s="18" cm="1">
        <f t="array" ref="F421">_xlfn.TEXTJOIN(" ",1,C421,D421,E421)</f>
        <v>CASH SALE</v>
      </c>
      <c r="G421" t="s" s="19">
        <v>9</v>
      </c>
      <c r="H421" s="20">
        <v>3000</v>
      </c>
      <c r="I421" s="20">
        <v>6</v>
      </c>
      <c r="J421" s="20">
        <v>3000</v>
      </c>
      <c r="K421" t="s" s="19">
        <v>527</v>
      </c>
      <c r="L421" t="s" s="19">
        <v>27</v>
      </c>
      <c r="M421" t="str" s="18" cm="1">
        <f t="array" ref="M421">IF(F421="CASH SALE",K421,F421)</f>
        <v>SWAPNIL NA</v>
      </c>
    </row>
    <row r="422" ht="22.8" customHeight="1">
      <c r="A422" s="14">
        <v>45771</v>
      </c>
      <c r="B422" s="15">
        <v>420</v>
      </c>
      <c r="C422" t="s" s="16">
        <v>7</v>
      </c>
      <c r="D422" s="17"/>
      <c r="E422" s="17"/>
      <c r="F422" t="str" s="18" cm="1">
        <f t="array" ref="F422">_xlfn.TEXTJOIN(" ",1,C422,D422,E422)</f>
        <v>CASH SALE</v>
      </c>
      <c r="G422" t="s" s="19">
        <v>9</v>
      </c>
      <c r="H422" s="20">
        <v>3000</v>
      </c>
      <c r="I422" s="20">
        <v>5.5</v>
      </c>
      <c r="J422" s="20">
        <v>3000</v>
      </c>
      <c r="K422" t="s" s="19">
        <v>529</v>
      </c>
      <c r="L422" t="s" s="19">
        <v>27</v>
      </c>
      <c r="M422" t="str" s="18" cm="1">
        <f t="array" ref="M422">IF(F422="CASH SALE",K422,F422)</f>
        <v>VIJAY PAL</v>
      </c>
    </row>
    <row r="423" ht="22.8" customHeight="1">
      <c r="A423" s="14">
        <v>45771</v>
      </c>
      <c r="B423" s="15">
        <v>421</v>
      </c>
      <c r="C423" t="s" s="16">
        <v>7</v>
      </c>
      <c r="D423" s="17"/>
      <c r="E423" s="17"/>
      <c r="F423" t="str" s="18" cm="1">
        <f t="array" ref="F423">_xlfn.TEXTJOIN(" ",1,C423,D423,E423)</f>
        <v>CASH SALE</v>
      </c>
      <c r="G423" t="s" s="19">
        <v>9</v>
      </c>
      <c r="H423" s="20">
        <v>4000</v>
      </c>
      <c r="I423" s="20">
        <v>5.75</v>
      </c>
      <c r="J423" s="20">
        <v>4000</v>
      </c>
      <c r="K423" t="s" s="19">
        <v>410</v>
      </c>
      <c r="L423" t="s" s="19">
        <v>21</v>
      </c>
      <c r="M423" t="str" s="18" cm="1">
        <f t="array" ref="M423">IF(F423="CASH SALE",K423,F423)</f>
        <v>RAHUL MARS</v>
      </c>
    </row>
    <row r="424" ht="22.8" customHeight="1">
      <c r="A424" s="14">
        <v>45771</v>
      </c>
      <c r="B424" s="15">
        <v>422</v>
      </c>
      <c r="C424" t="s" s="16">
        <v>444</v>
      </c>
      <c r="D424" s="17"/>
      <c r="E424" s="17"/>
      <c r="F424" t="str" s="18" cm="1">
        <f t="array" ref="F424">_xlfn.TEXTJOIN(" ",1,C424,D424,E424)</f>
        <v>BSCPL INFRASTRUCTURE</v>
      </c>
      <c r="G424" t="s" s="19">
        <v>9</v>
      </c>
      <c r="H424" s="20">
        <v>4000</v>
      </c>
      <c r="I424" s="20">
        <v>6.5</v>
      </c>
      <c r="J424" s="20">
        <v>4000</v>
      </c>
      <c r="K424" t="s" s="19">
        <v>446</v>
      </c>
      <c r="L424" t="s" s="19">
        <v>21</v>
      </c>
      <c r="M424" t="str" s="18" cm="1">
        <f t="array" ref="M424">IF(F424="CASH SALE",K424,F424)</f>
        <v>BSCPL INFRASTRUCTURE</v>
      </c>
    </row>
    <row r="425" ht="22.8" customHeight="1">
      <c r="A425" s="14">
        <v>45771</v>
      </c>
      <c r="B425" s="15">
        <v>423</v>
      </c>
      <c r="C425" t="s" s="16">
        <v>7</v>
      </c>
      <c r="D425" s="17"/>
      <c r="E425" s="17"/>
      <c r="F425" t="str" s="18" cm="1">
        <f t="array" ref="F425">_xlfn.TEXTJOIN(" ",1,C425,D425,E425)</f>
        <v>CASH SALE</v>
      </c>
      <c r="G425" t="s" s="19">
        <v>9</v>
      </c>
      <c r="H425" s="20">
        <v>4000</v>
      </c>
      <c r="I425" s="20">
        <v>5.75</v>
      </c>
      <c r="J425" s="20">
        <v>4000</v>
      </c>
      <c r="K425" t="s" s="19">
        <v>531</v>
      </c>
      <c r="L425" t="s" s="19">
        <v>16</v>
      </c>
      <c r="M425" t="str" s="18" cm="1">
        <f t="array" ref="M425">IF(F425="CASH SALE",K425,F425)</f>
        <v>AMOL ZADE</v>
      </c>
    </row>
    <row r="426" ht="22.8" customHeight="1">
      <c r="A426" s="14">
        <v>45771</v>
      </c>
      <c r="B426" s="15">
        <v>424</v>
      </c>
      <c r="C426" t="s" s="16">
        <v>7</v>
      </c>
      <c r="D426" s="17"/>
      <c r="E426" s="17"/>
      <c r="F426" t="str" s="18" cm="1">
        <f t="array" ref="F426">_xlfn.TEXTJOIN(" ",1,C426,D426,E426)</f>
        <v>CASH SALE</v>
      </c>
      <c r="G426" t="s" s="19">
        <v>9</v>
      </c>
      <c r="H426" s="20">
        <v>4000</v>
      </c>
      <c r="I426" s="20">
        <v>5.75</v>
      </c>
      <c r="J426" s="20">
        <v>4000</v>
      </c>
      <c r="K426" t="s" s="19">
        <v>94</v>
      </c>
      <c r="L426" t="s" s="19">
        <v>16</v>
      </c>
      <c r="M426" t="str" s="18" cm="1">
        <f t="array" ref="M426">IF(F426="CASH SALE",K426,F426)</f>
        <v>GANESH KUS</v>
      </c>
    </row>
    <row r="427" ht="22.8" customHeight="1">
      <c r="A427" s="14">
        <v>45771</v>
      </c>
      <c r="B427" s="15">
        <v>425</v>
      </c>
      <c r="C427" t="s" s="16">
        <v>7</v>
      </c>
      <c r="D427" s="17"/>
      <c r="E427" s="17"/>
      <c r="F427" t="str" s="18" cm="1">
        <f t="array" ref="F427">_xlfn.TEXTJOIN(" ",1,C427,D427,E427)</f>
        <v>CASH SALE</v>
      </c>
      <c r="G427" t="s" s="19">
        <v>9</v>
      </c>
      <c r="H427" s="20">
        <v>1500</v>
      </c>
      <c r="I427" s="20">
        <v>4.7</v>
      </c>
      <c r="J427" s="20">
        <v>1500</v>
      </c>
      <c r="K427" t="s" s="19">
        <v>533</v>
      </c>
      <c r="L427" t="s" s="19">
        <v>30</v>
      </c>
      <c r="M427" t="str" s="18" cm="1">
        <f t="array" ref="M427">IF(F427="CASH SALE",K427,F427)</f>
        <v>AAKASH LAD</v>
      </c>
    </row>
    <row r="428" ht="22.8" customHeight="1">
      <c r="A428" s="14">
        <v>45771</v>
      </c>
      <c r="B428" s="15">
        <v>426</v>
      </c>
      <c r="C428" t="s" s="16">
        <v>39</v>
      </c>
      <c r="D428" s="17"/>
      <c r="E428" s="17"/>
      <c r="F428" t="str" s="18" cm="1">
        <f t="array" ref="F428">_xlfn.TEXTJOIN(" ",1,C428,D428,E428)</f>
        <v>MANISH TAPASE</v>
      </c>
      <c r="G428" t="s" s="19">
        <v>9</v>
      </c>
      <c r="H428" s="20">
        <v>1500</v>
      </c>
      <c r="I428" s="20">
        <v>4.27</v>
      </c>
      <c r="J428" s="20">
        <v>1500</v>
      </c>
      <c r="K428" t="s" s="19">
        <v>535</v>
      </c>
      <c r="L428" t="s" s="19">
        <v>30</v>
      </c>
      <c r="M428" t="str" s="18" cm="1">
        <f t="array" ref="M428">IF(F428="CASH SALE",K428,F428)</f>
        <v>MANISH TAPASE</v>
      </c>
    </row>
    <row r="429" ht="22.8" customHeight="1">
      <c r="A429" s="14">
        <v>45771</v>
      </c>
      <c r="B429" s="15">
        <v>427</v>
      </c>
      <c r="C429" t="s" s="16">
        <v>536</v>
      </c>
      <c r="D429" s="17"/>
      <c r="E429" s="17"/>
      <c r="F429" t="str" s="18" cm="1">
        <f t="array" ref="F429">_xlfn.TEXTJOIN(" ",1,C429,D429,E429)</f>
        <v>VAIBHAV CHAUDHARI</v>
      </c>
      <c r="G429" t="s" s="19">
        <v>9</v>
      </c>
      <c r="H429" s="20">
        <v>1500</v>
      </c>
      <c r="I429" s="20">
        <v>4.5</v>
      </c>
      <c r="J429" s="20">
        <v>1500</v>
      </c>
      <c r="K429" t="s" s="19">
        <v>101</v>
      </c>
      <c r="L429" t="s" s="19">
        <v>30</v>
      </c>
      <c r="M429" t="str" s="18" cm="1">
        <f t="array" ref="M429">IF(F429="CASH SALE",K429,F429)</f>
        <v>VAIBHAV CHAUDHARI</v>
      </c>
    </row>
    <row r="430" ht="22.8" customHeight="1">
      <c r="A430" s="14">
        <v>45771</v>
      </c>
      <c r="B430" s="15">
        <v>428</v>
      </c>
      <c r="C430" t="s" s="16">
        <v>23</v>
      </c>
      <c r="D430" s="17"/>
      <c r="E430" s="17"/>
      <c r="F430" t="str" s="18" cm="1">
        <f t="array" ref="F430">_xlfn.TEXTJOIN(" ",1,C430,D430,E430)</f>
        <v>CANCAL D M</v>
      </c>
      <c r="G430" t="s" s="19">
        <v>25</v>
      </c>
      <c r="H430" s="20">
        <v>1</v>
      </c>
      <c r="I430" s="20">
        <v>1</v>
      </c>
      <c r="J430" s="20">
        <v>1</v>
      </c>
      <c r="K430" s="18"/>
      <c r="L430" s="18"/>
      <c r="M430" t="str" s="18" cm="1">
        <f t="array" ref="M430">IF(F430="CASH SALE",K430,F430)</f>
        <v>CANCAL D M</v>
      </c>
    </row>
    <row r="431" ht="22.8" customHeight="1">
      <c r="A431" s="14">
        <v>45771</v>
      </c>
      <c r="B431" s="15">
        <v>429</v>
      </c>
      <c r="C431" t="s" s="21">
        <v>74</v>
      </c>
      <c r="D431" t="s" s="16">
        <v>75</v>
      </c>
      <c r="E431" s="17"/>
      <c r="F431" t="str" s="18" cm="1">
        <f t="array" ref="F431">_xlfn.TEXTJOIN(" ",1,C431,D431,E431)</f>
        <v>CASH SALE</v>
      </c>
      <c r="G431" t="s" s="19">
        <v>9</v>
      </c>
      <c r="H431" s="20">
        <v>1500</v>
      </c>
      <c r="I431" s="20">
        <v>4.6</v>
      </c>
      <c r="J431" s="20">
        <v>1500</v>
      </c>
      <c r="K431" t="s" s="19">
        <v>497</v>
      </c>
      <c r="L431" t="s" s="19">
        <v>30</v>
      </c>
      <c r="M431" t="str" s="18" cm="1">
        <f t="array" ref="M431">IF(F431="CASH SALE",K431,F431)</f>
        <v>PARMESHWAR</v>
      </c>
    </row>
    <row r="432" ht="22.8" customHeight="1">
      <c r="A432" s="14">
        <v>45771</v>
      </c>
      <c r="B432" s="15">
        <v>430</v>
      </c>
      <c r="C432" t="s" s="21">
        <v>74</v>
      </c>
      <c r="D432" t="s" s="16">
        <v>75</v>
      </c>
      <c r="E432" s="17"/>
      <c r="F432" t="str" s="18" cm="1">
        <f t="array" ref="F432">_xlfn.TEXTJOIN(" ",1,C432,D432,E432)</f>
        <v>CASH SALE</v>
      </c>
      <c r="G432" t="s" s="19">
        <v>9</v>
      </c>
      <c r="H432" s="20">
        <v>1500</v>
      </c>
      <c r="I432" s="20">
        <v>4.8</v>
      </c>
      <c r="J432" s="20">
        <v>1500</v>
      </c>
      <c r="K432" t="s" s="19">
        <v>219</v>
      </c>
      <c r="L432" t="s" s="19">
        <v>35</v>
      </c>
      <c r="M432" t="str" s="18" cm="1">
        <f t="array" ref="M432">IF(F432="CASH SALE",K432,F432)</f>
        <v>PRADIP SHE</v>
      </c>
    </row>
    <row r="433" ht="22.8" customHeight="1">
      <c r="A433" s="14">
        <v>45771</v>
      </c>
      <c r="B433" s="15">
        <v>431</v>
      </c>
      <c r="C433" t="s" s="16">
        <v>359</v>
      </c>
      <c r="D433" s="17"/>
      <c r="E433" s="17"/>
      <c r="F433" t="str" s="18" cm="1">
        <f t="array" ref="F433">_xlfn.TEXTJOIN(" ",1,C433,D433,E433)</f>
        <v>KEWAL THEKEDAR</v>
      </c>
      <c r="G433" t="s" s="19">
        <v>9</v>
      </c>
      <c r="H433" s="20">
        <v>1500</v>
      </c>
      <c r="I433" s="20">
        <v>4.5</v>
      </c>
      <c r="J433" s="20">
        <v>1500</v>
      </c>
      <c r="K433" t="s" s="19">
        <v>538</v>
      </c>
      <c r="L433" t="s" s="19">
        <v>35</v>
      </c>
      <c r="M433" t="str" s="18" cm="1">
        <f t="array" ref="M433">IF(F433="CASH SALE",K433,F433)</f>
        <v>KEWAL THEKEDAR</v>
      </c>
    </row>
    <row r="434" ht="22.8" customHeight="1">
      <c r="A434" s="14">
        <v>45771</v>
      </c>
      <c r="B434" s="15">
        <v>432</v>
      </c>
      <c r="C434" t="s" s="21">
        <v>74</v>
      </c>
      <c r="D434" t="s" s="16">
        <v>75</v>
      </c>
      <c r="E434" s="17"/>
      <c r="F434" t="str" s="18" cm="1">
        <f t="array" ref="F434">_xlfn.TEXTJOIN(" ",1,C434,D434,E434)</f>
        <v>CASH SALE</v>
      </c>
      <c r="G434" t="s" s="19">
        <v>404</v>
      </c>
      <c r="H434" s="20"/>
      <c r="I434" s="20">
        <v>3000</v>
      </c>
      <c r="J434" s="20"/>
      <c r="K434" t="s" s="19">
        <v>539</v>
      </c>
      <c r="L434" t="s" s="19">
        <v>11</v>
      </c>
      <c r="M434" t="str" s="18" cm="1">
        <f t="array" ref="M434">IF(F434="CASH SALE",K434,F434)</f>
        <v>IRFAN SHEI</v>
      </c>
    </row>
    <row r="435" ht="22.8" customHeight="1">
      <c r="A435" s="14">
        <v>45771</v>
      </c>
      <c r="B435" s="15">
        <v>433</v>
      </c>
      <c r="C435" t="s" s="16">
        <v>46</v>
      </c>
      <c r="D435" s="17"/>
      <c r="E435" s="17"/>
      <c r="F435" t="str" s="18" cm="1">
        <f t="array" ref="F435">_xlfn.TEXTJOIN(" ",1,C435,D435,E435)</f>
        <v>ARYAN BUILDERS</v>
      </c>
      <c r="G435" t="s" s="19">
        <v>9</v>
      </c>
      <c r="H435" s="20">
        <v>1500</v>
      </c>
      <c r="I435" s="20">
        <v>4.5</v>
      </c>
      <c r="J435" s="20">
        <v>1500</v>
      </c>
      <c r="K435" t="s" s="19">
        <v>48</v>
      </c>
      <c r="L435" t="s" s="19">
        <v>35</v>
      </c>
      <c r="M435" t="str" s="18" cm="1">
        <f t="array" ref="M435">IF(F435="CASH SALE",K435,F435)</f>
        <v>ARYAN BUILDERS</v>
      </c>
    </row>
    <row r="436" ht="22.8" customHeight="1">
      <c r="A436" s="14">
        <v>45772</v>
      </c>
      <c r="B436" s="15">
        <v>434</v>
      </c>
      <c r="C436" t="s" s="21">
        <v>74</v>
      </c>
      <c r="D436" t="s" s="16">
        <v>75</v>
      </c>
      <c r="E436" s="17"/>
      <c r="F436" t="str" s="18" cm="1">
        <f t="array" ref="F436">_xlfn.TEXTJOIN(" ",1,C436,D436,E436)</f>
        <v>CASH SALE</v>
      </c>
      <c r="G436" t="s" s="19">
        <v>9</v>
      </c>
      <c r="H436" s="20">
        <v>4000</v>
      </c>
      <c r="I436" s="20">
        <v>6</v>
      </c>
      <c r="J436" s="20">
        <v>4000</v>
      </c>
      <c r="K436" t="s" s="19">
        <v>541</v>
      </c>
      <c r="L436" t="s" s="19">
        <v>16</v>
      </c>
      <c r="M436" t="str" s="18" cm="1">
        <f t="array" ref="M436">IF(F436="CASH SALE",K436,F436)</f>
        <v>RAVINDRA M</v>
      </c>
    </row>
    <row r="437" ht="22.8" customHeight="1">
      <c r="A437" s="14">
        <v>45772</v>
      </c>
      <c r="B437" s="15">
        <v>435</v>
      </c>
      <c r="C437" t="s" s="21">
        <v>74</v>
      </c>
      <c r="D437" t="s" s="16">
        <v>75</v>
      </c>
      <c r="E437" s="17"/>
      <c r="F437" t="str" s="18" cm="1">
        <f t="array" ref="F437">_xlfn.TEXTJOIN(" ",1,C437,D437,E437)</f>
        <v>CASH SALE</v>
      </c>
      <c r="G437" t="s" s="19">
        <v>9</v>
      </c>
      <c r="H437" s="20">
        <v>4000</v>
      </c>
      <c r="I437" s="20">
        <v>5.25</v>
      </c>
      <c r="J437" s="20">
        <v>4000</v>
      </c>
      <c r="K437" t="s" s="19">
        <v>543</v>
      </c>
      <c r="L437" t="s" s="19">
        <v>16</v>
      </c>
      <c r="M437" t="str" s="18" cm="1">
        <f t="array" ref="M437">IF(F437="CASH SALE",K437,F437)</f>
        <v>YOGESH AVA</v>
      </c>
    </row>
    <row r="438" ht="22.8" customHeight="1">
      <c r="A438" s="14">
        <v>45772</v>
      </c>
      <c r="B438" s="15">
        <v>436</v>
      </c>
      <c r="C438" t="s" s="21">
        <v>74</v>
      </c>
      <c r="D438" t="s" s="16">
        <v>75</v>
      </c>
      <c r="E438" s="17"/>
      <c r="F438" t="str" s="18" cm="1">
        <f t="array" ref="F438">_xlfn.TEXTJOIN(" ",1,C438,D438,E438)</f>
        <v>CASH SALE</v>
      </c>
      <c r="G438" t="s" s="19">
        <v>9</v>
      </c>
      <c r="H438" s="20">
        <v>4000</v>
      </c>
      <c r="I438" s="20">
        <v>5.75</v>
      </c>
      <c r="J438" s="20">
        <v>4000</v>
      </c>
      <c r="K438" t="s" s="19">
        <v>545</v>
      </c>
      <c r="L438" t="s" s="19">
        <v>21</v>
      </c>
      <c r="M438" t="str" s="18" cm="1">
        <f t="array" ref="M438">IF(F438="CASH SALE",K438,F438)</f>
        <v>MANGESH KE</v>
      </c>
    </row>
    <row r="439" ht="22.8" customHeight="1">
      <c r="A439" s="14">
        <v>45772</v>
      </c>
      <c r="B439" s="15">
        <v>437</v>
      </c>
      <c r="C439" t="s" s="21">
        <v>74</v>
      </c>
      <c r="D439" t="s" s="16">
        <v>75</v>
      </c>
      <c r="E439" s="17"/>
      <c r="F439" t="str" s="18" cm="1">
        <f t="array" ref="F439">_xlfn.TEXTJOIN(" ",1,C439,D439,E439)</f>
        <v>CASH SALE</v>
      </c>
      <c r="G439" t="s" s="19">
        <v>9</v>
      </c>
      <c r="H439" s="20">
        <v>4000</v>
      </c>
      <c r="I439" s="20">
        <v>5.25</v>
      </c>
      <c r="J439" s="20">
        <v>4000</v>
      </c>
      <c r="K439" t="s" s="19">
        <v>547</v>
      </c>
      <c r="L439" t="s" s="19">
        <v>21</v>
      </c>
      <c r="M439" t="str" s="18" cm="1">
        <f t="array" ref="M439">IF(F439="CASH SALE",K439,F439)</f>
        <v>VAIBHAV TH</v>
      </c>
    </row>
    <row r="440" ht="22.8" customHeight="1">
      <c r="A440" s="14">
        <v>45772</v>
      </c>
      <c r="B440" s="15">
        <v>438</v>
      </c>
      <c r="C440" t="s" s="21">
        <v>74</v>
      </c>
      <c r="D440" t="s" s="16">
        <v>75</v>
      </c>
      <c r="E440" s="17"/>
      <c r="F440" t="str" s="18" cm="1">
        <f t="array" ref="F440">_xlfn.TEXTJOIN(" ",1,C440,D440,E440)</f>
        <v>CASH SALE</v>
      </c>
      <c r="G440" t="s" s="19">
        <v>9</v>
      </c>
      <c r="H440" s="20">
        <v>2500</v>
      </c>
      <c r="I440" s="20">
        <v>6</v>
      </c>
      <c r="J440" s="20">
        <v>2500</v>
      </c>
      <c r="K440" t="s" s="19">
        <v>549</v>
      </c>
      <c r="L440" t="s" s="19">
        <v>11</v>
      </c>
      <c r="M440" t="str" s="18" cm="1">
        <f t="array" ref="M440">IF(F440="CASH SALE",K440,F440)</f>
        <v>HUSSAIN SH</v>
      </c>
    </row>
    <row r="441" ht="22.8" customHeight="1">
      <c r="A441" s="14">
        <v>45772</v>
      </c>
      <c r="B441" s="15">
        <v>439</v>
      </c>
      <c r="C441" t="s" s="16">
        <v>23</v>
      </c>
      <c r="D441" s="17"/>
      <c r="E441" s="17"/>
      <c r="F441" t="str" s="18" cm="1">
        <f t="array" ref="F441">_xlfn.TEXTJOIN(" ",1,C441,D441,E441)</f>
        <v>CANCAL D M</v>
      </c>
      <c r="G441" t="s" s="19">
        <v>25</v>
      </c>
      <c r="H441" s="20">
        <v>1</v>
      </c>
      <c r="I441" s="20">
        <v>1</v>
      </c>
      <c r="J441" s="20">
        <v>1</v>
      </c>
      <c r="K441" s="18"/>
      <c r="L441" s="18"/>
      <c r="M441" t="str" s="18" cm="1">
        <f t="array" ref="M441">IF(F441="CASH SALE",K441,F441)</f>
        <v>CANCAL D M</v>
      </c>
    </row>
    <row r="442" ht="22.8" customHeight="1">
      <c r="A442" s="14">
        <v>45772</v>
      </c>
      <c r="B442" s="15">
        <v>440</v>
      </c>
      <c r="C442" t="s" s="16">
        <v>7</v>
      </c>
      <c r="D442" s="17"/>
      <c r="E442" s="17"/>
      <c r="F442" t="str" s="18" cm="1">
        <f t="array" ref="F442">_xlfn.TEXTJOIN(" ",1,C442,D442,E442)</f>
        <v>CASH SALE</v>
      </c>
      <c r="G442" t="s" s="19">
        <v>9</v>
      </c>
      <c r="H442" s="20">
        <v>3000</v>
      </c>
      <c r="I442" s="20">
        <v>5.75</v>
      </c>
      <c r="J442" s="20">
        <v>3000</v>
      </c>
      <c r="K442" t="s" s="19">
        <v>551</v>
      </c>
      <c r="L442" t="s" s="19">
        <v>27</v>
      </c>
      <c r="M442" t="str" s="18" cm="1">
        <f t="array" ref="M442">IF(F442="CASH SALE",K442,F442)</f>
        <v>RAJESH KAD</v>
      </c>
    </row>
    <row r="443" ht="22.8" customHeight="1">
      <c r="A443" s="14">
        <v>45772</v>
      </c>
      <c r="B443" s="15">
        <v>441</v>
      </c>
      <c r="C443" t="s" s="16">
        <v>553</v>
      </c>
      <c r="D443" s="17"/>
      <c r="E443" s="17"/>
      <c r="F443" t="str" s="18" cm="1">
        <f t="array" ref="F443">_xlfn.TEXTJOIN(" ",1,C443,D443,E443)</f>
        <v>SONAL SHEVATE</v>
      </c>
      <c r="G443" t="s" s="19">
        <v>9</v>
      </c>
      <c r="H443" s="20">
        <v>1500</v>
      </c>
      <c r="I443" s="20">
        <v>4.67</v>
      </c>
      <c r="J443" s="20">
        <v>1500</v>
      </c>
      <c r="K443" t="s" s="19">
        <v>555</v>
      </c>
      <c r="L443" t="s" s="19">
        <v>35</v>
      </c>
      <c r="M443" t="str" s="18" cm="1">
        <f t="array" ref="M443">IF(F443="CASH SALE",K443,F443)</f>
        <v>SONAL SHEVATE</v>
      </c>
    </row>
    <row r="444" ht="22.8" customHeight="1">
      <c r="A444" s="14">
        <v>45772</v>
      </c>
      <c r="B444" s="15">
        <v>442</v>
      </c>
      <c r="C444" t="s" s="16">
        <v>556</v>
      </c>
      <c r="D444" s="17"/>
      <c r="E444" s="17"/>
      <c r="F444" t="str" s="18" cm="1">
        <f t="array" ref="F444">_xlfn.TEXTJOIN(" ",1,C444,D444,E444)</f>
        <v>ATUL VAIDYA</v>
      </c>
      <c r="G444" t="s" s="19">
        <v>9</v>
      </c>
      <c r="H444" s="20">
        <v>1500</v>
      </c>
      <c r="I444" s="20">
        <v>4.67</v>
      </c>
      <c r="J444" s="20">
        <v>1500</v>
      </c>
      <c r="K444" t="s" s="19">
        <v>558</v>
      </c>
      <c r="L444" t="s" s="19">
        <v>35</v>
      </c>
      <c r="M444" t="str" s="18" cm="1">
        <f t="array" ref="M444">IF(F444="CASH SALE",K444,F444)</f>
        <v>ATUL VAIDYA</v>
      </c>
    </row>
    <row r="445" ht="22.8" customHeight="1">
      <c r="A445" s="14">
        <v>45772</v>
      </c>
      <c r="B445" s="15">
        <v>443</v>
      </c>
      <c r="C445" t="s" s="16">
        <v>163</v>
      </c>
      <c r="D445" s="17"/>
      <c r="E445" s="17"/>
      <c r="F445" t="str" s="18" cm="1">
        <f t="array" ref="F445">_xlfn.TEXTJOIN(" ",1,C445,D445,E445)</f>
        <v>KISHOR AATRAM</v>
      </c>
      <c r="G445" t="s" s="19">
        <v>9</v>
      </c>
      <c r="H445" s="20">
        <v>1500</v>
      </c>
      <c r="I445" s="20">
        <v>4.4</v>
      </c>
      <c r="J445" s="20">
        <v>1500</v>
      </c>
      <c r="K445" t="s" s="19">
        <v>386</v>
      </c>
      <c r="L445" t="s" s="19">
        <v>42</v>
      </c>
      <c r="M445" t="str" s="18" cm="1">
        <f t="array" ref="M445">IF(F445="CASH SALE",K445,F445)</f>
        <v>KISHOR AATRAM</v>
      </c>
    </row>
    <row r="446" ht="22.8" customHeight="1">
      <c r="A446" s="14">
        <v>45772</v>
      </c>
      <c r="B446" s="15">
        <v>444</v>
      </c>
      <c r="C446" t="s" s="16">
        <v>7</v>
      </c>
      <c r="D446" s="17"/>
      <c r="E446" s="17"/>
      <c r="F446" t="str" s="18" cm="1">
        <f t="array" ref="F446">_xlfn.TEXTJOIN(" ",1,C446,D446,E446)</f>
        <v>CASH SALE</v>
      </c>
      <c r="G446" t="s" s="19">
        <v>9</v>
      </c>
      <c r="H446" s="20">
        <v>1500</v>
      </c>
      <c r="I446" s="20">
        <v>5</v>
      </c>
      <c r="J446" s="20">
        <v>1500</v>
      </c>
      <c r="K446" t="s" s="19">
        <v>559</v>
      </c>
      <c r="L446" t="s" s="19">
        <v>42</v>
      </c>
      <c r="M446" t="str" s="18" cm="1">
        <f t="array" ref="M446">IF(F446="CASH SALE",K446,F446)</f>
        <v>PRASHANT M</v>
      </c>
    </row>
    <row r="447" ht="22.8" customHeight="1">
      <c r="A447" s="14">
        <v>45772</v>
      </c>
      <c r="B447" s="15">
        <v>445</v>
      </c>
      <c r="C447" t="s" s="16">
        <v>7</v>
      </c>
      <c r="D447" s="17"/>
      <c r="E447" s="17"/>
      <c r="F447" t="str" s="18" cm="1">
        <f t="array" ref="F447">_xlfn.TEXTJOIN(" ",1,C447,D447,E447)</f>
        <v>CASH SALE</v>
      </c>
      <c r="G447" t="s" s="19">
        <v>9</v>
      </c>
      <c r="H447" s="20">
        <v>1500</v>
      </c>
      <c r="I447" s="20">
        <v>4.8</v>
      </c>
      <c r="J447" s="20">
        <v>1500</v>
      </c>
      <c r="K447" t="s" s="19">
        <v>561</v>
      </c>
      <c r="L447" t="s" s="19">
        <v>30</v>
      </c>
      <c r="M447" t="str" s="18" cm="1">
        <f t="array" ref="M447">IF(F447="CASH SALE",K447,F447)</f>
        <v>AMIT LONGA</v>
      </c>
    </row>
    <row r="448" ht="22.8" customHeight="1">
      <c r="A448" s="14">
        <v>45772</v>
      </c>
      <c r="B448" s="15">
        <v>446</v>
      </c>
      <c r="C448" t="s" s="16">
        <v>563</v>
      </c>
      <c r="D448" s="17"/>
      <c r="E448" s="17"/>
      <c r="F448" t="str" s="18" cm="1">
        <f t="array" ref="F448">_xlfn.TEXTJOIN(" ",1,C448,D448,E448)</f>
        <v>SAIYYAD HANIF</v>
      </c>
      <c r="G448" t="s" s="19">
        <v>9</v>
      </c>
      <c r="H448" s="20">
        <v>1500</v>
      </c>
      <c r="I448" s="20">
        <v>4.5</v>
      </c>
      <c r="J448" s="20">
        <v>1500</v>
      </c>
      <c r="K448" t="s" s="19">
        <v>69</v>
      </c>
      <c r="L448" t="s" s="19">
        <v>30</v>
      </c>
      <c r="M448" t="str" s="18" cm="1">
        <f t="array" ref="M448">IF(F448="CASH SALE",K448,F448)</f>
        <v>SAIYYAD HANIF</v>
      </c>
    </row>
    <row r="449" ht="22.8" customHeight="1">
      <c r="A449" s="14">
        <v>45772</v>
      </c>
      <c r="B449" s="15">
        <v>447</v>
      </c>
      <c r="C449" t="s" s="16">
        <v>142</v>
      </c>
      <c r="D449" s="17"/>
      <c r="E449" s="17"/>
      <c r="F449" t="str" s="18" cm="1">
        <f t="array" ref="F449">_xlfn.TEXTJOIN(" ",1,C449,D449,E449)</f>
        <v>RAJU YADAO</v>
      </c>
      <c r="G449" t="s" s="19">
        <v>9</v>
      </c>
      <c r="H449" s="20">
        <v>1500</v>
      </c>
      <c r="I449" s="20">
        <v>4.6</v>
      </c>
      <c r="J449" s="20">
        <v>1500</v>
      </c>
      <c r="K449" t="s" s="19">
        <v>565</v>
      </c>
      <c r="L449" t="s" s="19">
        <v>42</v>
      </c>
      <c r="M449" t="str" s="18" cm="1">
        <f t="array" ref="M449">IF(F449="CASH SALE",K449,F449)</f>
        <v>RAJU YADAO</v>
      </c>
    </row>
    <row r="450" ht="22.8" customHeight="1">
      <c r="A450" s="14">
        <v>45772</v>
      </c>
      <c r="B450" s="15">
        <v>448</v>
      </c>
      <c r="C450" t="s" s="16">
        <v>39</v>
      </c>
      <c r="D450" s="17"/>
      <c r="E450" s="17"/>
      <c r="F450" t="str" s="18" cm="1">
        <f t="array" ref="F450">_xlfn.TEXTJOIN(" ",1,C450,D450,E450)</f>
        <v>MANISH TAPASE</v>
      </c>
      <c r="G450" t="s" s="19">
        <v>9</v>
      </c>
      <c r="H450" s="20">
        <v>1500</v>
      </c>
      <c r="I450" s="20">
        <v>4.27</v>
      </c>
      <c r="J450" s="20">
        <v>1500</v>
      </c>
      <c r="K450" t="s" s="19">
        <v>38</v>
      </c>
      <c r="L450" t="s" s="19">
        <v>30</v>
      </c>
      <c r="M450" t="str" s="18" cm="1">
        <f t="array" ref="M450">IF(F450="CASH SALE",K450,F450)</f>
        <v>MANISH TAPASE</v>
      </c>
    </row>
    <row r="451" ht="22.8" customHeight="1">
      <c r="A451" s="14">
        <v>45772</v>
      </c>
      <c r="B451" s="15">
        <v>449</v>
      </c>
      <c r="C451" t="s" s="16">
        <v>566</v>
      </c>
      <c r="D451" s="17"/>
      <c r="E451" s="17"/>
      <c r="F451" t="str" s="18" cm="1">
        <f t="array" ref="F451">_xlfn.TEXTJOIN(" ",1,C451,D451,E451)</f>
        <v>SAMIKSHA CONSTRUCTIO</v>
      </c>
      <c r="G451" t="s" s="19">
        <v>9</v>
      </c>
      <c r="H451" s="20">
        <v>1000</v>
      </c>
      <c r="I451" s="20">
        <v>5</v>
      </c>
      <c r="J451" s="20">
        <v>1000</v>
      </c>
      <c r="K451" t="s" s="19">
        <v>366</v>
      </c>
      <c r="L451" t="s" s="19">
        <v>35</v>
      </c>
      <c r="M451" t="str" s="18" cm="1">
        <f t="array" ref="M451">IF(F451="CASH SALE",K451,F451)</f>
        <v>SAMIKSHA CONSTRUCTIO</v>
      </c>
    </row>
    <row r="452" ht="22.8" customHeight="1">
      <c r="A452" s="14">
        <v>45772</v>
      </c>
      <c r="B452" s="15">
        <v>450</v>
      </c>
      <c r="C452" t="s" s="16">
        <v>296</v>
      </c>
      <c r="D452" s="17"/>
      <c r="E452" s="17"/>
      <c r="F452" t="str" s="18" cm="1">
        <f t="array" ref="F452">_xlfn.TEXTJOIN(" ",1,C452,D452,E452)</f>
        <v>PRAMOD PUNYAPAWAR</v>
      </c>
      <c r="G452" t="s" s="19">
        <v>9</v>
      </c>
      <c r="H452" s="20">
        <v>1500</v>
      </c>
      <c r="I452" s="20">
        <v>4.4</v>
      </c>
      <c r="J452" s="20">
        <v>1500</v>
      </c>
      <c r="K452" t="s" s="19">
        <v>238</v>
      </c>
      <c r="L452" t="s" s="19">
        <v>30</v>
      </c>
      <c r="M452" t="str" s="18" cm="1">
        <f t="array" ref="M452">IF(F452="CASH SALE",K452,F452)</f>
        <v>PRAMOD PUNYAPAWAR</v>
      </c>
    </row>
    <row r="453" ht="22.8" customHeight="1">
      <c r="A453" s="14">
        <v>45772</v>
      </c>
      <c r="B453" s="15">
        <v>451</v>
      </c>
      <c r="C453" t="s" s="16">
        <v>46</v>
      </c>
      <c r="D453" s="17"/>
      <c r="E453" s="17"/>
      <c r="F453" t="str" s="18" cm="1">
        <f t="array" ref="F453">_xlfn.TEXTJOIN(" ",1,C453,D453,E453)</f>
        <v>ARYAN BUILDERS</v>
      </c>
      <c r="G453" t="s" s="19">
        <v>9</v>
      </c>
      <c r="H453" s="20">
        <v>1500</v>
      </c>
      <c r="I453" s="20">
        <v>4.5</v>
      </c>
      <c r="J453" s="20">
        <v>1500</v>
      </c>
      <c r="K453" t="s" s="19">
        <v>48</v>
      </c>
      <c r="L453" t="s" s="19">
        <v>35</v>
      </c>
      <c r="M453" t="str" s="18" cm="1">
        <f t="array" ref="M453">IF(F453="CASH SALE",K453,F453)</f>
        <v>ARYAN BUILDERS</v>
      </c>
    </row>
    <row r="454" ht="23.15" customHeight="1">
      <c r="A454" s="22">
        <v>45772</v>
      </c>
      <c r="B454" s="23">
        <v>452</v>
      </c>
      <c r="C454" t="s" s="24">
        <v>23</v>
      </c>
      <c r="D454" s="25"/>
      <c r="E454" s="25"/>
      <c r="F454" t="str" s="26" cm="1">
        <f t="array" ref="F454">_xlfn.TEXTJOIN(" ",1,C454,D454,E454)</f>
        <v>CANCAL D M</v>
      </c>
      <c r="G454" t="s" s="27">
        <v>25</v>
      </c>
      <c r="H454" s="28">
        <v>1</v>
      </c>
      <c r="I454" s="28">
        <v>1</v>
      </c>
      <c r="J454" s="28">
        <v>1</v>
      </c>
      <c r="K454" s="26"/>
      <c r="L454" s="26"/>
      <c r="M454" t="str" s="26" cm="1">
        <f t="array" ref="M454">IF(F454="CASH SALE",K454,F454)</f>
        <v>CANCAL D M</v>
      </c>
    </row>
    <row r="455" ht="23.15" customHeight="1">
      <c r="A455" s="7">
        <v>45773</v>
      </c>
      <c r="B455" s="8">
        <v>453</v>
      </c>
      <c r="C455" t="s" s="9">
        <v>7</v>
      </c>
      <c r="D455" s="10"/>
      <c r="E455" s="10"/>
      <c r="F455" t="str" s="11" cm="1">
        <f t="array" ref="F455">_xlfn.TEXTJOIN(" ",1,C455,D455,E455)</f>
        <v>CASH SALE</v>
      </c>
      <c r="G455" t="s" s="12">
        <v>9</v>
      </c>
      <c r="H455" s="13">
        <v>4000</v>
      </c>
      <c r="I455" s="13">
        <v>5.75</v>
      </c>
      <c r="J455" s="13">
        <v>4000</v>
      </c>
      <c r="K455" t="s" s="12">
        <v>159</v>
      </c>
      <c r="L455" t="s" s="12">
        <v>16</v>
      </c>
      <c r="M455" t="str" s="11" cm="1">
        <f t="array" ref="M455">IF(F455="CASH SALE",K455,F455)</f>
        <v>SANDIP TUR</v>
      </c>
    </row>
    <row r="456" ht="22.8" customHeight="1">
      <c r="A456" s="14">
        <v>45773</v>
      </c>
      <c r="B456" s="15">
        <v>454</v>
      </c>
      <c r="C456" t="s" s="16">
        <v>7</v>
      </c>
      <c r="D456" s="17"/>
      <c r="E456" s="17"/>
      <c r="F456" t="str" s="18" cm="1">
        <f t="array" ref="F456">_xlfn.TEXTJOIN(" ",1,C456,D456,E456)</f>
        <v>CASH SALE</v>
      </c>
      <c r="G456" t="s" s="19">
        <v>9</v>
      </c>
      <c r="H456" s="20">
        <v>4000</v>
      </c>
      <c r="I456" s="20">
        <v>5.5</v>
      </c>
      <c r="J456" s="20">
        <v>4000</v>
      </c>
      <c r="K456" t="s" s="19">
        <v>189</v>
      </c>
      <c r="L456" t="s" s="19">
        <v>16</v>
      </c>
      <c r="M456" t="str" s="18" cm="1">
        <f t="array" ref="M456">IF(F456="CASH SALE",K456,F456)</f>
        <v>NIKHIL KAR</v>
      </c>
    </row>
    <row r="457" ht="22.8" customHeight="1">
      <c r="A457" s="14">
        <v>45773</v>
      </c>
      <c r="B457" s="15">
        <v>455</v>
      </c>
      <c r="C457" t="s" s="16">
        <v>7</v>
      </c>
      <c r="D457" s="17"/>
      <c r="E457" s="17"/>
      <c r="F457" t="str" s="18" cm="1">
        <f t="array" ref="F457">_xlfn.TEXTJOIN(" ",1,C457,D457,E457)</f>
        <v>CASH SALE</v>
      </c>
      <c r="G457" t="s" s="19">
        <v>9</v>
      </c>
      <c r="H457" s="20">
        <v>4000</v>
      </c>
      <c r="I457" s="20">
        <v>5.75</v>
      </c>
      <c r="J457" s="20">
        <v>4000</v>
      </c>
      <c r="K457" t="s" s="19">
        <v>568</v>
      </c>
      <c r="L457" t="s" s="19">
        <v>21</v>
      </c>
      <c r="M457" t="str" s="18" cm="1">
        <f t="array" ref="M457">IF(F457="CASH SALE",K457,F457)</f>
        <v>SHANKAR KU</v>
      </c>
    </row>
    <row r="458" ht="22.8" customHeight="1">
      <c r="A458" s="14">
        <v>45773</v>
      </c>
      <c r="B458" s="15">
        <v>456</v>
      </c>
      <c r="C458" t="s" s="16">
        <v>23</v>
      </c>
      <c r="D458" s="17"/>
      <c r="E458" s="17"/>
      <c r="F458" t="str" s="18" cm="1">
        <f t="array" ref="F458">_xlfn.TEXTJOIN(" ",1,C458,D458,E458)</f>
        <v>CANCAL D M</v>
      </c>
      <c r="G458" t="s" s="19">
        <v>25</v>
      </c>
      <c r="H458" s="20">
        <v>1</v>
      </c>
      <c r="I458" s="20">
        <v>1</v>
      </c>
      <c r="J458" s="20">
        <v>1</v>
      </c>
      <c r="K458" s="18"/>
      <c r="L458" s="18"/>
      <c r="M458" t="str" s="18" cm="1">
        <f t="array" ref="M458">IF(F458="CASH SALE",K458,F458)</f>
        <v>CANCAL D M</v>
      </c>
    </row>
    <row r="459" ht="22.8" customHeight="1">
      <c r="A459" s="14">
        <v>45773</v>
      </c>
      <c r="B459" s="15">
        <v>457</v>
      </c>
      <c r="C459" t="s" s="16">
        <v>7</v>
      </c>
      <c r="D459" s="17"/>
      <c r="E459" s="17"/>
      <c r="F459" t="str" s="18" cm="1">
        <f t="array" ref="F459">_xlfn.TEXTJOIN(" ",1,C459,D459,E459)</f>
        <v>CASH SALE</v>
      </c>
      <c r="G459" t="s" s="19">
        <v>9</v>
      </c>
      <c r="H459" s="20">
        <v>2500</v>
      </c>
      <c r="I459" s="20">
        <v>5.75</v>
      </c>
      <c r="J459" s="20">
        <v>2500</v>
      </c>
      <c r="K459" t="s" s="19">
        <v>570</v>
      </c>
      <c r="L459" t="s" s="19">
        <v>11</v>
      </c>
      <c r="M459" t="str" s="18" cm="1">
        <f t="array" ref="M459">IF(F459="CASH SALE",K459,F459)</f>
        <v>NILESH CHO</v>
      </c>
    </row>
    <row r="460" ht="22.8" customHeight="1">
      <c r="A460" s="14">
        <v>45773</v>
      </c>
      <c r="B460" s="15">
        <v>458</v>
      </c>
      <c r="C460" t="s" s="16">
        <v>23</v>
      </c>
      <c r="D460" s="17"/>
      <c r="E460" s="17"/>
      <c r="F460" t="str" s="18" cm="1">
        <f t="array" ref="F460">_xlfn.TEXTJOIN(" ",1,C460,D460,E460)</f>
        <v>CANCAL D M</v>
      </c>
      <c r="G460" t="s" s="19">
        <v>25</v>
      </c>
      <c r="H460" s="20">
        <v>1</v>
      </c>
      <c r="I460" s="20">
        <v>1</v>
      </c>
      <c r="J460" s="20">
        <v>1</v>
      </c>
      <c r="K460" s="18"/>
      <c r="L460" s="18"/>
      <c r="M460" t="str" s="18" cm="1">
        <f t="array" ref="M460">IF(F460="CASH SALE",K460,F460)</f>
        <v>CANCAL D M</v>
      </c>
    </row>
    <row r="461" ht="22.8" customHeight="1">
      <c r="A461" s="14">
        <v>45773</v>
      </c>
      <c r="B461" s="15">
        <v>459</v>
      </c>
      <c r="C461" t="s" s="16">
        <v>148</v>
      </c>
      <c r="D461" s="17"/>
      <c r="E461" s="17"/>
      <c r="F461" t="str" s="18" cm="1">
        <f t="array" ref="F461">_xlfn.TEXTJOIN(" ",1,C461,D461,E461)</f>
        <v>PAVAN BAVISKAR</v>
      </c>
      <c r="G461" t="s" s="19">
        <v>9</v>
      </c>
      <c r="H461" s="20">
        <v>1000</v>
      </c>
      <c r="I461" s="20">
        <v>5.2</v>
      </c>
      <c r="J461" s="20">
        <v>1000</v>
      </c>
      <c r="K461" t="s" s="19">
        <v>572</v>
      </c>
      <c r="L461" t="s" s="19">
        <v>42</v>
      </c>
      <c r="M461" t="str" s="18" cm="1">
        <f t="array" ref="M461">IF(F461="CASH SALE",K461,F461)</f>
        <v>PAVAN BAVISKAR</v>
      </c>
    </row>
    <row r="462" ht="22.8" customHeight="1">
      <c r="A462" s="14">
        <v>45773</v>
      </c>
      <c r="B462" s="15">
        <v>460</v>
      </c>
      <c r="C462" t="s" s="16">
        <v>307</v>
      </c>
      <c r="D462" s="17"/>
      <c r="E462" s="17"/>
      <c r="F462" t="str" s="18" cm="1">
        <f t="array" ref="F462">_xlfn.TEXTJOIN(" ",1,C462,D462,E462)</f>
        <v>RAVINDRA OHOD</v>
      </c>
      <c r="G462" t="s" s="19">
        <v>9</v>
      </c>
      <c r="H462" s="20">
        <v>1500</v>
      </c>
      <c r="I462" s="20">
        <v>4.7</v>
      </c>
      <c r="J462" s="20">
        <v>1500</v>
      </c>
      <c r="K462" t="s" s="19">
        <v>38</v>
      </c>
      <c r="L462" t="s" s="19">
        <v>42</v>
      </c>
      <c r="M462" t="str" s="18" cm="1">
        <f t="array" ref="M462">IF(F462="CASH SALE",K462,F462)</f>
        <v>RAVINDRA OHOD</v>
      </c>
    </row>
    <row r="463" ht="22.8" customHeight="1">
      <c r="A463" s="14">
        <v>45773</v>
      </c>
      <c r="B463" s="15">
        <v>461</v>
      </c>
      <c r="C463" t="s" s="16">
        <v>256</v>
      </c>
      <c r="D463" s="17"/>
      <c r="E463" s="17"/>
      <c r="F463" t="str" s="18" cm="1">
        <f t="array" ref="F463">_xlfn.TEXTJOIN(" ",1,C463,D463,E463)</f>
        <v>RAGIT BANDHU TRADERS</v>
      </c>
      <c r="G463" t="s" s="19">
        <v>9</v>
      </c>
      <c r="H463" s="20">
        <v>1500</v>
      </c>
      <c r="I463" s="20">
        <v>4.4</v>
      </c>
      <c r="J463" s="20">
        <v>1500</v>
      </c>
      <c r="K463" t="s" s="19">
        <v>38</v>
      </c>
      <c r="L463" t="s" s="19">
        <v>30</v>
      </c>
      <c r="M463" t="str" s="18" cm="1">
        <f t="array" ref="M463">IF(F463="CASH SALE",K463,F463)</f>
        <v>RAGIT BANDHU TRADERS</v>
      </c>
    </row>
    <row r="464" ht="22.8" customHeight="1">
      <c r="A464" s="14">
        <v>45773</v>
      </c>
      <c r="B464" s="15">
        <v>462</v>
      </c>
      <c r="C464" t="s" s="16">
        <v>7</v>
      </c>
      <c r="D464" s="17"/>
      <c r="E464" s="17"/>
      <c r="F464" t="str" s="18" cm="1">
        <f t="array" ref="F464">_xlfn.TEXTJOIN(" ",1,C464,D464,E464)</f>
        <v>CASH SALE</v>
      </c>
      <c r="G464" t="s" s="19">
        <v>9</v>
      </c>
      <c r="H464" s="20">
        <v>1500</v>
      </c>
      <c r="I464" s="20">
        <v>4.67</v>
      </c>
      <c r="J464" s="20">
        <v>1500</v>
      </c>
      <c r="K464" t="s" s="19">
        <v>573</v>
      </c>
      <c r="L464" t="s" s="19">
        <v>30</v>
      </c>
      <c r="M464" t="str" s="18" cm="1">
        <f t="array" ref="M464">IF(F464="CASH SALE",K464,F464)</f>
        <v>AAKASH TAD</v>
      </c>
    </row>
    <row r="465" ht="22.8" customHeight="1">
      <c r="A465" s="14">
        <v>45773</v>
      </c>
      <c r="B465" s="15">
        <v>463</v>
      </c>
      <c r="C465" t="s" s="16">
        <v>113</v>
      </c>
      <c r="D465" s="17"/>
      <c r="E465" s="17"/>
      <c r="F465" t="str" s="18" cm="1">
        <f t="array" ref="F465">_xlfn.TEXTJOIN(" ",1,C465,D465,E465)</f>
        <v>BHUPESH REGUNDWAR</v>
      </c>
      <c r="G465" t="s" s="19">
        <v>9</v>
      </c>
      <c r="H465" s="20">
        <v>1500</v>
      </c>
      <c r="I465" s="20">
        <v>4.67</v>
      </c>
      <c r="J465" s="20">
        <v>1500</v>
      </c>
      <c r="K465" t="s" s="19">
        <v>575</v>
      </c>
      <c r="L465" t="s" s="19">
        <v>35</v>
      </c>
      <c r="M465" t="str" s="18" cm="1">
        <f t="array" ref="M465">IF(F465="CASH SALE",K465,F465)</f>
        <v>BHUPESH REGUNDWAR</v>
      </c>
    </row>
    <row r="466" ht="22.8" customHeight="1">
      <c r="A466" s="14">
        <v>45773</v>
      </c>
      <c r="B466" s="15">
        <v>464</v>
      </c>
      <c r="C466" t="s" s="21">
        <v>576</v>
      </c>
      <c r="D466" t="s" s="16">
        <v>577</v>
      </c>
      <c r="E466" s="17"/>
      <c r="F466" t="str" s="18" cm="1">
        <f t="array" ref="F466">_xlfn.TEXTJOIN(" ",1,C466,D466,E466)</f>
        <v>ANIL GORE</v>
      </c>
      <c r="G466" t="s" s="19">
        <v>9</v>
      </c>
      <c r="H466" s="20">
        <v>1500</v>
      </c>
      <c r="I466" s="20">
        <v>4.6</v>
      </c>
      <c r="J466" s="20">
        <v>1500</v>
      </c>
      <c r="K466" t="s" s="19">
        <v>579</v>
      </c>
      <c r="L466" t="s" s="19">
        <v>35</v>
      </c>
      <c r="M466" t="str" s="18" cm="1">
        <f t="array" ref="M466">IF(F466="CASH SALE",K466,F466)</f>
        <v>ANIL GORE</v>
      </c>
    </row>
    <row r="467" ht="22.8" customHeight="1">
      <c r="A467" s="14">
        <v>45773</v>
      </c>
      <c r="B467" s="15">
        <v>465</v>
      </c>
      <c r="C467" t="s" s="21">
        <v>74</v>
      </c>
      <c r="D467" t="s" s="16">
        <v>75</v>
      </c>
      <c r="E467" s="17"/>
      <c r="F467" t="str" s="18" cm="1">
        <f t="array" ref="F467">_xlfn.TEXTJOIN(" ",1,C467,D467,E467)</f>
        <v>CASH SALE</v>
      </c>
      <c r="G467" t="s" s="19">
        <v>9</v>
      </c>
      <c r="H467" s="20">
        <v>1500</v>
      </c>
      <c r="I467" s="20">
        <v>4.7</v>
      </c>
      <c r="J467" s="20">
        <v>1500</v>
      </c>
      <c r="K467" t="s" s="19">
        <v>533</v>
      </c>
      <c r="L467" t="s" s="19">
        <v>30</v>
      </c>
      <c r="M467" t="str" s="18" cm="1">
        <f t="array" ref="M467">IF(F467="CASH SALE",K467,F467)</f>
        <v>AAKASH LAD</v>
      </c>
    </row>
    <row r="468" ht="22.8" customHeight="1">
      <c r="A468" s="14">
        <v>45773</v>
      </c>
      <c r="B468" s="15">
        <v>466</v>
      </c>
      <c r="C468" t="s" s="21">
        <v>74</v>
      </c>
      <c r="D468" t="s" s="16">
        <v>75</v>
      </c>
      <c r="E468" s="17"/>
      <c r="F468" t="str" s="18" cm="1">
        <f t="array" ref="F468">_xlfn.TEXTJOIN(" ",1,C468,D468,E468)</f>
        <v>CASH SALE</v>
      </c>
      <c r="G468" t="s" s="19">
        <v>9</v>
      </c>
      <c r="H468" s="20">
        <v>1500</v>
      </c>
      <c r="I468" s="20">
        <v>5</v>
      </c>
      <c r="J468" s="20">
        <v>1500</v>
      </c>
      <c r="K468" t="s" s="19">
        <v>580</v>
      </c>
      <c r="L468" t="s" s="19">
        <v>42</v>
      </c>
      <c r="M468" t="str" s="18" cm="1">
        <f t="array" ref="M468">IF(F468="CASH SALE",K468,F468)</f>
        <v>UMESH MILM</v>
      </c>
    </row>
    <row r="469" ht="22.8" customHeight="1">
      <c r="A469" s="14">
        <v>45773</v>
      </c>
      <c r="B469" s="15">
        <v>467</v>
      </c>
      <c r="C469" t="s" s="21">
        <v>582</v>
      </c>
      <c r="D469" t="s" s="16">
        <v>583</v>
      </c>
      <c r="E469" s="17"/>
      <c r="F469" t="str" s="18" cm="1">
        <f t="array" ref="F469">_xlfn.TEXTJOIN(" ",1,C469,D469,E469)</f>
        <v>ATUL VAIDYA</v>
      </c>
      <c r="G469" t="s" s="19">
        <v>9</v>
      </c>
      <c r="H469" s="20">
        <v>1500</v>
      </c>
      <c r="I469" s="20">
        <v>4.7</v>
      </c>
      <c r="J469" s="20">
        <v>1500</v>
      </c>
      <c r="K469" t="s" s="19">
        <v>558</v>
      </c>
      <c r="L469" t="s" s="19">
        <v>35</v>
      </c>
      <c r="M469" t="str" s="18" cm="1">
        <f t="array" ref="M469">IF(F469="CASH SALE",K469,F469)</f>
        <v>ATUL VAIDYA</v>
      </c>
    </row>
    <row r="470" ht="22.8" customHeight="1">
      <c r="A470" s="14">
        <v>45773</v>
      </c>
      <c r="B470" s="15">
        <v>468</v>
      </c>
      <c r="C470" t="s" s="16">
        <v>261</v>
      </c>
      <c r="D470" s="17"/>
      <c r="E470" s="17"/>
      <c r="F470" t="str" s="18" cm="1">
        <f t="array" ref="F470">_xlfn.TEXTJOIN(" ",1,C470,D470,E470)</f>
        <v>MAGIC SPLASH &amp; RESOR</v>
      </c>
      <c r="G470" t="s" s="19">
        <v>9</v>
      </c>
      <c r="H470" s="20">
        <v>1500</v>
      </c>
      <c r="I470" s="20">
        <v>4.7</v>
      </c>
      <c r="J470" s="20">
        <v>1500</v>
      </c>
      <c r="K470" t="s" s="19">
        <v>150</v>
      </c>
      <c r="L470" t="s" s="19">
        <v>30</v>
      </c>
      <c r="M470" t="str" s="18" cm="1">
        <f t="array" ref="M470">IF(F470="CASH SALE",K470,F470)</f>
        <v>MAGIC SPLASH &amp; RESOR</v>
      </c>
    </row>
    <row r="471" ht="22.8" customHeight="1">
      <c r="A471" s="14">
        <v>45773</v>
      </c>
      <c r="B471" s="15">
        <v>469</v>
      </c>
      <c r="C471" t="s" s="16">
        <v>46</v>
      </c>
      <c r="D471" s="17"/>
      <c r="E471" s="17"/>
      <c r="F471" t="str" s="18" cm="1">
        <f t="array" ref="F471">_xlfn.TEXTJOIN(" ",1,C471,D471,E471)</f>
        <v>ARYAN BUILDERS</v>
      </c>
      <c r="G471" t="s" s="19">
        <v>9</v>
      </c>
      <c r="H471" s="20">
        <v>1500</v>
      </c>
      <c r="I471" s="20">
        <v>4.7</v>
      </c>
      <c r="J471" s="20">
        <v>1500</v>
      </c>
      <c r="K471" t="s" s="19">
        <v>48</v>
      </c>
      <c r="L471" t="s" s="19">
        <v>42</v>
      </c>
      <c r="M471" t="str" s="18" cm="1">
        <f t="array" ref="M471">IF(F471="CASH SALE",K471,F471)</f>
        <v>ARYAN BUILDERS</v>
      </c>
    </row>
    <row r="472" ht="22.8" customHeight="1">
      <c r="A472" s="14">
        <v>45773</v>
      </c>
      <c r="B472" s="15">
        <v>470</v>
      </c>
      <c r="C472" t="s" s="16">
        <v>46</v>
      </c>
      <c r="D472" s="17"/>
      <c r="E472" s="17"/>
      <c r="F472" t="str" s="18" cm="1">
        <f t="array" ref="F472">_xlfn.TEXTJOIN(" ",1,C472,D472,E472)</f>
        <v>ARYAN BUILDERS</v>
      </c>
      <c r="G472" t="s" s="19">
        <v>9</v>
      </c>
      <c r="H472" s="20">
        <v>1500</v>
      </c>
      <c r="I472" s="20">
        <v>4.7</v>
      </c>
      <c r="J472" s="20">
        <v>1500</v>
      </c>
      <c r="K472" t="s" s="19">
        <v>48</v>
      </c>
      <c r="L472" t="s" s="19">
        <v>35</v>
      </c>
      <c r="M472" t="str" s="18" cm="1">
        <f t="array" ref="M472">IF(F472="CASH SALE",K472,F472)</f>
        <v>ARYAN BUILDERS</v>
      </c>
    </row>
    <row r="473" ht="22.8" customHeight="1">
      <c r="A473" s="14">
        <v>45774</v>
      </c>
      <c r="B473" s="15">
        <v>471</v>
      </c>
      <c r="C473" t="s" s="21">
        <v>74</v>
      </c>
      <c r="D473" t="s" s="16">
        <v>75</v>
      </c>
      <c r="E473" s="17"/>
      <c r="F473" t="str" s="18" cm="1">
        <f t="array" ref="F473">_xlfn.TEXTJOIN(" ",1,C473,D473,E473)</f>
        <v>CASH SALE</v>
      </c>
      <c r="G473" t="s" s="19">
        <v>9</v>
      </c>
      <c r="H473" s="20">
        <v>4000</v>
      </c>
      <c r="I473" s="20">
        <v>5.75</v>
      </c>
      <c r="J473" s="20">
        <v>4000</v>
      </c>
      <c r="K473" t="s" s="19">
        <v>584</v>
      </c>
      <c r="L473" t="s" s="19">
        <v>16</v>
      </c>
      <c r="M473" t="str" s="18" cm="1">
        <f t="array" ref="M473">IF(F473="CASH SALE",K473,F473)</f>
        <v>SUNIL SURW</v>
      </c>
    </row>
    <row r="474" ht="22.8" customHeight="1">
      <c r="A474" s="14">
        <v>45774</v>
      </c>
      <c r="B474" s="15">
        <v>472</v>
      </c>
      <c r="C474" t="s" s="21">
        <v>74</v>
      </c>
      <c r="D474" t="s" s="16">
        <v>75</v>
      </c>
      <c r="E474" s="17"/>
      <c r="F474" t="str" s="18" cm="1">
        <f t="array" ref="F474">_xlfn.TEXTJOIN(" ",1,C474,D474,E474)</f>
        <v>CASH SALE</v>
      </c>
      <c r="G474" t="s" s="19">
        <v>9</v>
      </c>
      <c r="H474" s="20">
        <v>4000</v>
      </c>
      <c r="I474" s="20">
        <v>5.5</v>
      </c>
      <c r="J474" s="20">
        <v>4000</v>
      </c>
      <c r="K474" t="s" s="19">
        <v>586</v>
      </c>
      <c r="L474" t="s" s="19">
        <v>16</v>
      </c>
      <c r="M474" t="str" s="18" cm="1">
        <f t="array" ref="M474">IF(F474="CASH SALE",K474,F474)</f>
        <v>RAJU JUNGH</v>
      </c>
    </row>
    <row r="475" ht="22.8" customHeight="1">
      <c r="A475" s="14">
        <v>45774</v>
      </c>
      <c r="B475" s="15">
        <v>473</v>
      </c>
      <c r="C475" t="s" s="21">
        <v>74</v>
      </c>
      <c r="D475" t="s" s="16">
        <v>75</v>
      </c>
      <c r="E475" s="17"/>
      <c r="F475" t="str" s="18" cm="1">
        <f t="array" ref="F475">_xlfn.TEXTJOIN(" ",1,C475,D475,E475)</f>
        <v>CASH SALE</v>
      </c>
      <c r="G475" t="s" s="19">
        <v>9</v>
      </c>
      <c r="H475" s="20">
        <v>4000</v>
      </c>
      <c r="I475" s="20">
        <v>6</v>
      </c>
      <c r="J475" s="20">
        <v>4000</v>
      </c>
      <c r="K475" t="s" s="19">
        <v>588</v>
      </c>
      <c r="L475" t="s" s="19">
        <v>21</v>
      </c>
      <c r="M475" t="str" s="18" cm="1">
        <f t="array" ref="M475">IF(F475="CASH SALE",K475,F475)</f>
        <v>OM BANDURK</v>
      </c>
    </row>
    <row r="476" ht="22.8" customHeight="1">
      <c r="A476" s="14">
        <v>45774</v>
      </c>
      <c r="B476" s="15">
        <v>474</v>
      </c>
      <c r="C476" t="s" s="21">
        <v>74</v>
      </c>
      <c r="D476" t="s" s="16">
        <v>75</v>
      </c>
      <c r="E476" s="17"/>
      <c r="F476" t="str" s="18" cm="1">
        <f t="array" ref="F476">_xlfn.TEXTJOIN(" ",1,C476,D476,E476)</f>
        <v>CASH SALE</v>
      </c>
      <c r="G476" t="s" s="19">
        <v>9</v>
      </c>
      <c r="H476" s="20">
        <v>4000</v>
      </c>
      <c r="I476" s="20">
        <v>6</v>
      </c>
      <c r="J476" s="20">
        <v>4000</v>
      </c>
      <c r="K476" t="s" s="19">
        <v>590</v>
      </c>
      <c r="L476" t="s" s="19">
        <v>21</v>
      </c>
      <c r="M476" t="str" s="18" cm="1">
        <f t="array" ref="M476">IF(F476="CASH SALE",K476,F476)</f>
        <v>ASHOK BHAT</v>
      </c>
    </row>
    <row r="477" ht="22.8" customHeight="1">
      <c r="A477" s="14">
        <v>45774</v>
      </c>
      <c r="B477" s="15">
        <v>475</v>
      </c>
      <c r="C477" t="s" s="21">
        <v>74</v>
      </c>
      <c r="D477" t="s" s="16">
        <v>75</v>
      </c>
      <c r="E477" s="17"/>
      <c r="F477" t="str" s="18" cm="1">
        <f t="array" ref="F477">_xlfn.TEXTJOIN(" ",1,C477,D477,E477)</f>
        <v>CASH SALE</v>
      </c>
      <c r="G477" t="s" s="19">
        <v>9</v>
      </c>
      <c r="H477" s="20">
        <v>2500</v>
      </c>
      <c r="I477" s="20">
        <v>5.75</v>
      </c>
      <c r="J477" s="20">
        <v>2500</v>
      </c>
      <c r="K477" t="s" s="19">
        <v>592</v>
      </c>
      <c r="L477" t="s" s="19">
        <v>11</v>
      </c>
      <c r="M477" t="str" s="18" cm="1">
        <f t="array" ref="M477">IF(F477="CASH SALE",K477,F477)</f>
        <v>SANDIP KAD</v>
      </c>
    </row>
    <row r="478" ht="22.8" customHeight="1">
      <c r="A478" s="14">
        <v>45774</v>
      </c>
      <c r="B478" s="15">
        <v>476</v>
      </c>
      <c r="C478" t="s" s="16">
        <v>289</v>
      </c>
      <c r="D478" s="17"/>
      <c r="E478" s="17"/>
      <c r="F478" t="str" s="18" cm="1">
        <f t="array" ref="F478">_xlfn.TEXTJOIN(" ",1,C478,D478,E478)</f>
        <v>WADKAR SAHEB</v>
      </c>
      <c r="G478" t="s" s="19">
        <v>9</v>
      </c>
      <c r="H478" s="20">
        <v>2500</v>
      </c>
      <c r="I478" s="20">
        <v>4.7</v>
      </c>
      <c r="J478" s="20">
        <v>2500</v>
      </c>
      <c r="K478" t="s" s="19">
        <v>173</v>
      </c>
      <c r="L478" t="s" s="19">
        <v>11</v>
      </c>
      <c r="M478" t="str" s="18" cm="1">
        <f t="array" ref="M478">IF(F478="CASH SALE",K478,F478)</f>
        <v>WADKAR SAHEB</v>
      </c>
    </row>
    <row r="479" ht="22.8" customHeight="1">
      <c r="A479" s="14">
        <v>45774</v>
      </c>
      <c r="B479" s="15">
        <v>477</v>
      </c>
      <c r="C479" t="s" s="16">
        <v>7</v>
      </c>
      <c r="D479" s="17"/>
      <c r="E479" s="17"/>
      <c r="F479" t="str" s="18" cm="1">
        <f t="array" ref="F479">_xlfn.TEXTJOIN(" ",1,C479,D479,E479)</f>
        <v>CASH SALE</v>
      </c>
      <c r="G479" t="s" s="19">
        <v>9</v>
      </c>
      <c r="H479" s="20">
        <v>1500</v>
      </c>
      <c r="I479" s="20">
        <v>4.6</v>
      </c>
      <c r="J479" s="20">
        <v>1500</v>
      </c>
      <c r="K479" t="s" s="19">
        <v>251</v>
      </c>
      <c r="L479" t="s" s="19">
        <v>42</v>
      </c>
      <c r="M479" t="str" s="18" cm="1">
        <f t="array" ref="M479">IF(F479="CASH SALE",K479,F479)</f>
        <v>REVANDAS R</v>
      </c>
    </row>
    <row r="480" ht="22.8" customHeight="1">
      <c r="A480" s="14">
        <v>45774</v>
      </c>
      <c r="B480" s="15">
        <v>478</v>
      </c>
      <c r="C480" t="s" s="16">
        <v>594</v>
      </c>
      <c r="D480" s="17"/>
      <c r="E480" s="17"/>
      <c r="F480" t="str" s="18" cm="1">
        <f t="array" ref="F480">_xlfn.TEXTJOIN(" ",1,C480,D480,E480)</f>
        <v>SHAILESH BANGADE</v>
      </c>
      <c r="G480" t="s" s="19">
        <v>9</v>
      </c>
      <c r="H480" s="20">
        <v>1500</v>
      </c>
      <c r="I480" s="20">
        <v>4.6</v>
      </c>
      <c r="J480" s="20">
        <v>1500</v>
      </c>
      <c r="K480" t="s" s="19">
        <v>206</v>
      </c>
      <c r="L480" t="s" s="19">
        <v>42</v>
      </c>
      <c r="M480" t="str" s="18" cm="1">
        <f t="array" ref="M480">IF(F480="CASH SALE",K480,F480)</f>
        <v>SHAILESH BANGADE</v>
      </c>
    </row>
    <row r="481" ht="22.8" customHeight="1">
      <c r="A481" s="14">
        <v>45774</v>
      </c>
      <c r="B481" s="15">
        <v>479</v>
      </c>
      <c r="C481" t="s" s="16">
        <v>7</v>
      </c>
      <c r="D481" s="17"/>
      <c r="E481" s="17"/>
      <c r="F481" t="str" s="18" cm="1">
        <f t="array" ref="F481">_xlfn.TEXTJOIN(" ",1,C481,D481,E481)</f>
        <v>CASH SALE</v>
      </c>
      <c r="G481" t="s" s="19">
        <v>9</v>
      </c>
      <c r="H481" s="20">
        <v>1500</v>
      </c>
      <c r="I481" s="20">
        <v>4.6</v>
      </c>
      <c r="J481" s="20">
        <v>1500</v>
      </c>
      <c r="K481" t="s" s="19">
        <v>438</v>
      </c>
      <c r="L481" t="s" s="19">
        <v>35</v>
      </c>
      <c r="M481" t="str" s="18" cm="1">
        <f t="array" ref="M481">IF(F481="CASH SALE",K481,F481)</f>
        <v>PARAM NIKU</v>
      </c>
    </row>
    <row r="482" ht="22.8" customHeight="1">
      <c r="A482" s="14">
        <v>45774</v>
      </c>
      <c r="B482" s="15">
        <v>480</v>
      </c>
      <c r="C482" t="s" s="16">
        <v>596</v>
      </c>
      <c r="D482" s="17"/>
      <c r="E482" s="17"/>
      <c r="F482" t="str" s="18" cm="1">
        <f t="array" ref="F482">_xlfn.TEXTJOIN(" ",1,C482,D482,E482)</f>
        <v>SHUBHAM GONDANE</v>
      </c>
      <c r="G482" t="s" s="19">
        <v>9</v>
      </c>
      <c r="H482" s="20">
        <v>1500</v>
      </c>
      <c r="I482" s="20">
        <v>4.53</v>
      </c>
      <c r="J482" s="20">
        <v>1500</v>
      </c>
      <c r="K482" t="s" s="19">
        <v>361</v>
      </c>
      <c r="L482" t="s" s="19">
        <v>35</v>
      </c>
      <c r="M482" t="str" s="18" cm="1">
        <f t="array" ref="M482">IF(F482="CASH SALE",K482,F482)</f>
        <v>SHUBHAM GONDANE</v>
      </c>
    </row>
    <row r="483" ht="22.8" customHeight="1">
      <c r="A483" s="14">
        <v>45774</v>
      </c>
      <c r="B483" s="15">
        <v>481</v>
      </c>
      <c r="C483" t="s" s="16">
        <v>39</v>
      </c>
      <c r="D483" s="17"/>
      <c r="E483" s="17"/>
      <c r="F483" t="str" s="18" cm="1">
        <f t="array" ref="F483">_xlfn.TEXTJOIN(" ",1,C483,D483,E483)</f>
        <v>MANISH TAPASE</v>
      </c>
      <c r="G483" t="s" s="19">
        <v>9</v>
      </c>
      <c r="H483" s="20">
        <v>1500</v>
      </c>
      <c r="I483" s="20">
        <v>4.27</v>
      </c>
      <c r="J483" s="20">
        <v>1500</v>
      </c>
      <c r="K483" t="s" s="19">
        <v>535</v>
      </c>
      <c r="L483" t="s" s="19">
        <v>30</v>
      </c>
      <c r="M483" t="str" s="18" cm="1">
        <f t="array" ref="M483">IF(F483="CASH SALE",K483,F483)</f>
        <v>MANISH TAPASE</v>
      </c>
    </row>
    <row r="484" ht="22.8" customHeight="1">
      <c r="A484" s="14">
        <v>45774</v>
      </c>
      <c r="B484" s="15">
        <v>482</v>
      </c>
      <c r="C484" t="s" s="16">
        <v>256</v>
      </c>
      <c r="D484" s="17"/>
      <c r="E484" s="17"/>
      <c r="F484" t="str" s="18" cm="1">
        <f t="array" ref="F484">_xlfn.TEXTJOIN(" ",1,C484,D484,E484)</f>
        <v>RAGIT BANDHU TRADERS</v>
      </c>
      <c r="G484" t="s" s="19">
        <v>9</v>
      </c>
      <c r="H484" s="20">
        <v>1500</v>
      </c>
      <c r="I484" s="20">
        <v>4.4</v>
      </c>
      <c r="J484" s="20">
        <v>1500</v>
      </c>
      <c r="K484" t="s" s="19">
        <v>38</v>
      </c>
      <c r="L484" t="s" s="19">
        <v>30</v>
      </c>
      <c r="M484" t="str" s="18" cm="1">
        <f t="array" ref="M484">IF(F484="CASH SALE",K484,F484)</f>
        <v>RAGIT BANDHU TRADERS</v>
      </c>
    </row>
    <row r="485" ht="22.8" customHeight="1">
      <c r="A485" s="14">
        <v>45774</v>
      </c>
      <c r="B485" s="15">
        <v>483</v>
      </c>
      <c r="C485" t="s" s="16">
        <v>598</v>
      </c>
      <c r="D485" s="17"/>
      <c r="E485" s="17"/>
      <c r="F485" t="str" s="18" cm="1">
        <f t="array" ref="F485">_xlfn.TEXTJOIN(" ",1,C485,D485,E485)</f>
        <v>SHUBHAM GAOTURE</v>
      </c>
      <c r="G485" t="s" s="19">
        <v>9</v>
      </c>
      <c r="H485" s="20">
        <v>1500</v>
      </c>
      <c r="I485" s="20">
        <v>4.5</v>
      </c>
      <c r="J485" s="20">
        <v>1500</v>
      </c>
      <c r="K485" t="s" s="19">
        <v>386</v>
      </c>
      <c r="L485" t="s" s="19">
        <v>35</v>
      </c>
      <c r="M485" t="str" s="18" cm="1">
        <f t="array" ref="M485">IF(F485="CASH SALE",K485,F485)</f>
        <v>SHUBHAM GAOTURE</v>
      </c>
    </row>
    <row r="486" ht="22.8" customHeight="1">
      <c r="A486" s="14">
        <v>45774</v>
      </c>
      <c r="B486" s="15">
        <v>484</v>
      </c>
      <c r="C486" t="s" s="16">
        <v>7</v>
      </c>
      <c r="D486" s="17"/>
      <c r="E486" s="17"/>
      <c r="F486" t="str" s="18" cm="1">
        <f t="array" ref="F486">_xlfn.TEXTJOIN(" ",1,C486,D486,E486)</f>
        <v>CASH SALE</v>
      </c>
      <c r="G486" t="s" s="19">
        <v>9</v>
      </c>
      <c r="H486" s="20">
        <v>1500</v>
      </c>
      <c r="I486" s="20">
        <v>4.7</v>
      </c>
      <c r="J486" s="20">
        <v>1500</v>
      </c>
      <c r="K486" t="s" s="19">
        <v>533</v>
      </c>
      <c r="L486" t="s" s="19">
        <v>30</v>
      </c>
      <c r="M486" t="str" s="18" cm="1">
        <f t="array" ref="M486">IF(F486="CASH SALE",K486,F486)</f>
        <v>AAKASH LAD</v>
      </c>
    </row>
    <row r="487" ht="22.8" customHeight="1">
      <c r="A487" s="14">
        <v>45774</v>
      </c>
      <c r="B487" s="15">
        <v>485</v>
      </c>
      <c r="C487" t="s" s="16">
        <v>7</v>
      </c>
      <c r="D487" s="17"/>
      <c r="E487" s="17"/>
      <c r="F487" t="str" s="18" cm="1">
        <f t="array" ref="F487">_xlfn.TEXTJOIN(" ",1,C487,D487,E487)</f>
        <v>CASH SALE</v>
      </c>
      <c r="G487" t="s" s="19">
        <v>9</v>
      </c>
      <c r="H487" s="20">
        <v>1500</v>
      </c>
      <c r="I487" s="20">
        <v>4.6</v>
      </c>
      <c r="J487" s="20">
        <v>1500</v>
      </c>
      <c r="K487" t="s" s="19">
        <v>600</v>
      </c>
      <c r="L487" t="s" s="19">
        <v>42</v>
      </c>
      <c r="M487" t="str" s="18" cm="1">
        <f t="array" ref="M487">IF(F487="CASH SALE",K487,F487)</f>
        <v>SANJAY GUN</v>
      </c>
    </row>
    <row r="488" ht="22.8" customHeight="1">
      <c r="A488" s="14">
        <v>45774</v>
      </c>
      <c r="B488" s="15">
        <v>486</v>
      </c>
      <c r="C488" t="s" s="16">
        <v>293</v>
      </c>
      <c r="D488" s="17"/>
      <c r="E488" s="17"/>
      <c r="F488" t="str" s="18" cm="1">
        <f t="array" ref="F488">_xlfn.TEXTJOIN(" ",1,C488,D488,E488)</f>
        <v>SUNIL VISHWAKARMA</v>
      </c>
      <c r="G488" t="s" s="19">
        <v>9</v>
      </c>
      <c r="H488" s="20">
        <v>1500</v>
      </c>
      <c r="I488" s="20">
        <v>4.6</v>
      </c>
      <c r="J488" s="20">
        <v>1500</v>
      </c>
      <c r="K488" t="s" s="19">
        <v>426</v>
      </c>
      <c r="L488" t="s" s="19">
        <v>30</v>
      </c>
      <c r="M488" t="str" s="18" cm="1">
        <f t="array" ref="M488">IF(F488="CASH SALE",K488,F488)</f>
        <v>SUNIL VISHWAKARMA</v>
      </c>
    </row>
    <row r="489" ht="22.8" customHeight="1">
      <c r="A489" s="14">
        <v>45774</v>
      </c>
      <c r="B489" s="15">
        <v>487</v>
      </c>
      <c r="C489" t="s" s="16">
        <v>602</v>
      </c>
      <c r="D489" s="17"/>
      <c r="E489" s="17"/>
      <c r="F489" t="str" s="18" cm="1">
        <f t="array" ref="F489">_xlfn.TEXTJOIN(" ",1,C489,D489,E489)</f>
        <v>ANIL GADDAMWAR</v>
      </c>
      <c r="G489" t="s" s="19">
        <v>9</v>
      </c>
      <c r="H489" s="20">
        <v>1500</v>
      </c>
      <c r="I489" s="20">
        <v>4.6</v>
      </c>
      <c r="J489" s="20">
        <v>1500</v>
      </c>
      <c r="K489" t="s" s="19">
        <v>38</v>
      </c>
      <c r="L489" t="s" s="19">
        <v>42</v>
      </c>
      <c r="M489" t="str" s="18" cm="1">
        <f t="array" ref="M489">IF(F489="CASH SALE",K489,F489)</f>
        <v>ANIL GADDAMWAR</v>
      </c>
    </row>
    <row r="490" ht="22.8" customHeight="1">
      <c r="A490" s="14">
        <v>45774</v>
      </c>
      <c r="B490" s="15">
        <v>488</v>
      </c>
      <c r="C490" t="s" s="16">
        <v>171</v>
      </c>
      <c r="D490" s="17"/>
      <c r="E490" s="17"/>
      <c r="F490" t="str" s="18" cm="1">
        <f t="array" ref="F490">_xlfn.TEXTJOIN(" ",1,C490,D490,E490)</f>
        <v>SACHIN LINGOJWAR</v>
      </c>
      <c r="G490" t="s" s="19">
        <v>9</v>
      </c>
      <c r="H490" s="20">
        <v>1500</v>
      </c>
      <c r="I490" s="20">
        <v>4.7</v>
      </c>
      <c r="J490" s="20">
        <v>1500</v>
      </c>
      <c r="K490" t="s" s="19">
        <v>604</v>
      </c>
      <c r="L490" t="s" s="19">
        <v>35</v>
      </c>
      <c r="M490" t="str" s="18" cm="1">
        <f t="array" ref="M490">IF(F490="CASH SALE",K490,F490)</f>
        <v>SACHIN LINGOJWAR</v>
      </c>
    </row>
    <row r="491" ht="22.8" customHeight="1">
      <c r="A491" s="14">
        <v>45775</v>
      </c>
      <c r="B491" s="15">
        <v>489</v>
      </c>
      <c r="C491" t="s" s="16">
        <v>7</v>
      </c>
      <c r="D491" s="17"/>
      <c r="E491" s="17"/>
      <c r="F491" t="str" s="18" cm="1">
        <f t="array" ref="F491">_xlfn.TEXTJOIN(" ",1,C491,D491,E491)</f>
        <v>CASH SALE</v>
      </c>
      <c r="G491" t="s" s="19">
        <v>9</v>
      </c>
      <c r="H491" s="20">
        <v>4000</v>
      </c>
      <c r="I491" s="20">
        <v>5.75</v>
      </c>
      <c r="J491" s="20">
        <v>4000</v>
      </c>
      <c r="K491" t="s" s="19">
        <v>531</v>
      </c>
      <c r="L491" t="s" s="19">
        <v>21</v>
      </c>
      <c r="M491" t="str" s="18" cm="1">
        <f t="array" ref="M491">IF(F491="CASH SALE",K491,F491)</f>
        <v>AMOL ZADE</v>
      </c>
    </row>
    <row r="492" ht="22.8" customHeight="1">
      <c r="A492" s="14">
        <v>45775</v>
      </c>
      <c r="B492" s="15">
        <v>490</v>
      </c>
      <c r="C492" t="s" s="16">
        <v>7</v>
      </c>
      <c r="D492" s="17"/>
      <c r="E492" s="17"/>
      <c r="F492" t="str" s="18" cm="1">
        <f t="array" ref="F492">_xlfn.TEXTJOIN(" ",1,C492,D492,E492)</f>
        <v>CASH SALE</v>
      </c>
      <c r="G492" t="s" s="19">
        <v>9</v>
      </c>
      <c r="H492" s="20">
        <v>4000</v>
      </c>
      <c r="I492" s="20">
        <v>5.25</v>
      </c>
      <c r="J492" s="20">
        <v>4000</v>
      </c>
      <c r="K492" t="s" s="19">
        <v>605</v>
      </c>
      <c r="L492" t="s" s="19">
        <v>16</v>
      </c>
      <c r="M492" t="str" s="18" cm="1">
        <f t="array" ref="M492">IF(F492="CASH SALE",K492,F492)</f>
        <v>JAGDISH PO</v>
      </c>
    </row>
    <row r="493" ht="22.8" customHeight="1">
      <c r="A493" s="14">
        <v>45775</v>
      </c>
      <c r="B493" s="15">
        <v>491</v>
      </c>
      <c r="C493" t="s" s="16">
        <v>7</v>
      </c>
      <c r="D493" s="17"/>
      <c r="E493" s="17"/>
      <c r="F493" t="str" s="18" cm="1">
        <f t="array" ref="F493">_xlfn.TEXTJOIN(" ",1,C493,D493,E493)</f>
        <v>CASH SALE</v>
      </c>
      <c r="G493" t="s" s="19">
        <v>9</v>
      </c>
      <c r="H493" s="20">
        <v>2500</v>
      </c>
      <c r="I493" s="20">
        <v>5.5</v>
      </c>
      <c r="J493" s="20">
        <v>2500</v>
      </c>
      <c r="K493" t="s" s="19">
        <v>607</v>
      </c>
      <c r="L493" t="s" s="19">
        <v>11</v>
      </c>
      <c r="M493" t="str" s="18" cm="1">
        <f t="array" ref="M493">IF(F493="CASH SALE",K493,F493)</f>
        <v>GAURAO PAN</v>
      </c>
    </row>
    <row r="494" ht="22.8" customHeight="1">
      <c r="A494" s="14">
        <v>45775</v>
      </c>
      <c r="B494" s="15">
        <v>492</v>
      </c>
      <c r="C494" t="s" s="16">
        <v>7</v>
      </c>
      <c r="D494" s="17"/>
      <c r="E494" s="17"/>
      <c r="F494" t="str" s="18" cm="1">
        <f t="array" ref="F494">_xlfn.TEXTJOIN(" ",1,C494,D494,E494)</f>
        <v>CASH SALE</v>
      </c>
      <c r="G494" t="s" s="19">
        <v>9</v>
      </c>
      <c r="H494" s="20">
        <v>2500</v>
      </c>
      <c r="I494" s="20">
        <v>5.75</v>
      </c>
      <c r="J494" s="20">
        <v>2500</v>
      </c>
      <c r="K494" t="s" s="19">
        <v>80</v>
      </c>
      <c r="L494" t="s" s="19">
        <v>11</v>
      </c>
      <c r="M494" t="str" s="18" cm="1">
        <f t="array" ref="M494">IF(F494="CASH SALE",K494,F494)</f>
        <v>SUNIL ROHA</v>
      </c>
    </row>
    <row r="495" ht="22.8" customHeight="1">
      <c r="A495" s="14">
        <v>45775</v>
      </c>
      <c r="B495" s="15">
        <v>493</v>
      </c>
      <c r="C495" t="s" s="16">
        <v>609</v>
      </c>
      <c r="D495" s="17"/>
      <c r="E495" s="17"/>
      <c r="F495" t="str" s="18" cm="1">
        <f t="array" ref="F495">_xlfn.TEXTJOIN(" ",1,C495,D495,E495)</f>
        <v>GANESH UDAKWAR</v>
      </c>
      <c r="G495" t="s" s="19">
        <v>9</v>
      </c>
      <c r="H495" s="20">
        <v>4000</v>
      </c>
      <c r="I495" s="20">
        <v>5.75</v>
      </c>
      <c r="J495" s="20">
        <v>4000</v>
      </c>
      <c r="K495" t="s" s="19">
        <v>347</v>
      </c>
      <c r="L495" t="s" s="19">
        <v>16</v>
      </c>
      <c r="M495" t="str" s="18" cm="1">
        <f t="array" ref="M495">IF(F495="CASH SALE",K495,F495)</f>
        <v>GANESH UDAKWAR</v>
      </c>
    </row>
    <row r="496" ht="22.8" customHeight="1">
      <c r="A496" s="14">
        <v>45775</v>
      </c>
      <c r="B496" s="15">
        <v>494</v>
      </c>
      <c r="C496" t="s" s="16">
        <v>7</v>
      </c>
      <c r="D496" s="17"/>
      <c r="E496" s="17"/>
      <c r="F496" t="str" s="18" cm="1">
        <f t="array" ref="F496">_xlfn.TEXTJOIN(" ",1,C496,D496,E496)</f>
        <v>CASH SALE</v>
      </c>
      <c r="G496" t="s" s="19">
        <v>9</v>
      </c>
      <c r="H496" s="20">
        <v>4000</v>
      </c>
      <c r="I496" s="20">
        <v>5.25</v>
      </c>
      <c r="J496" s="20">
        <v>4000</v>
      </c>
      <c r="K496" t="s" s="19">
        <v>469</v>
      </c>
      <c r="L496" t="s" s="19">
        <v>16</v>
      </c>
      <c r="M496" t="str" s="18" cm="1">
        <f t="array" ref="M496">IF(F496="CASH SALE",K496,F496)</f>
        <v>CHARAN DEW</v>
      </c>
    </row>
    <row r="497" ht="22.8" customHeight="1">
      <c r="A497" s="14">
        <v>45775</v>
      </c>
      <c r="B497" s="15">
        <v>495</v>
      </c>
      <c r="C497" t="s" s="16">
        <v>198</v>
      </c>
      <c r="D497" s="17"/>
      <c r="E497" s="17"/>
      <c r="F497" t="str" s="18" cm="1">
        <f t="array" ref="F497">_xlfn.TEXTJOIN(" ",1,C497,D497,E497)</f>
        <v>RENUKA H W</v>
      </c>
      <c r="G497" t="s" s="19">
        <v>9</v>
      </c>
      <c r="H497" s="20">
        <v>1500</v>
      </c>
      <c r="I497" s="20">
        <v>4.4</v>
      </c>
      <c r="J497" s="20">
        <v>1500</v>
      </c>
      <c r="K497" t="s" s="19">
        <v>104</v>
      </c>
      <c r="L497" t="s" s="19">
        <v>42</v>
      </c>
      <c r="M497" t="str" s="18" cm="1">
        <f t="array" ref="M497">IF(F497="CASH SALE",K497,F497)</f>
        <v>RENUKA H W</v>
      </c>
    </row>
    <row r="498" ht="22.8" customHeight="1">
      <c r="A498" s="14">
        <v>45775</v>
      </c>
      <c r="B498" s="15">
        <v>496</v>
      </c>
      <c r="C498" t="s" s="16">
        <v>611</v>
      </c>
      <c r="D498" s="17"/>
      <c r="E498" s="17"/>
      <c r="F498" t="str" s="18" cm="1">
        <f t="array" ref="F498">_xlfn.TEXTJOIN(" ",1,C498,D498,E498)</f>
        <v>RAFIQ SHEIKH</v>
      </c>
      <c r="G498" t="s" s="19">
        <v>9</v>
      </c>
      <c r="H498" s="20">
        <v>1500</v>
      </c>
      <c r="I498" s="20">
        <v>4.6</v>
      </c>
      <c r="J498" s="20">
        <v>1500</v>
      </c>
      <c r="K498" t="s" s="19">
        <v>613</v>
      </c>
      <c r="L498" t="s" s="19">
        <v>42</v>
      </c>
      <c r="M498" t="str" s="18" cm="1">
        <f t="array" ref="M498">IF(F498="CASH SALE",K498,F498)</f>
        <v>RAFIQ SHEIKH</v>
      </c>
    </row>
    <row r="499" ht="22.8" customHeight="1">
      <c r="A499" s="14">
        <v>45775</v>
      </c>
      <c r="B499" s="15">
        <v>497</v>
      </c>
      <c r="C499" t="s" s="16">
        <v>23</v>
      </c>
      <c r="D499" s="17"/>
      <c r="E499" s="17"/>
      <c r="F499" t="str" s="18" cm="1">
        <f t="array" ref="F499">_xlfn.TEXTJOIN(" ",1,C499,D499,E499)</f>
        <v>CANCAL D M</v>
      </c>
      <c r="G499" t="s" s="19">
        <v>25</v>
      </c>
      <c r="H499" s="20">
        <v>1</v>
      </c>
      <c r="I499" s="20">
        <v>1</v>
      </c>
      <c r="J499" s="20">
        <v>1</v>
      </c>
      <c r="K499" s="18"/>
      <c r="L499" s="18"/>
      <c r="M499" t="str" s="18" cm="1">
        <f t="array" ref="M499">IF(F499="CASH SALE",K499,F499)</f>
        <v>CANCAL D M</v>
      </c>
    </row>
    <row r="500" ht="22.8" customHeight="1">
      <c r="A500" s="14">
        <v>45775</v>
      </c>
      <c r="B500" s="15">
        <v>498</v>
      </c>
      <c r="C500" t="s" s="16">
        <v>7</v>
      </c>
      <c r="D500" s="17"/>
      <c r="E500" s="17"/>
      <c r="F500" t="str" s="18" cm="1">
        <f t="array" ref="F500">_xlfn.TEXTJOIN(" ",1,C500,D500,E500)</f>
        <v>CASH SALE</v>
      </c>
      <c r="G500" t="s" s="19">
        <v>9</v>
      </c>
      <c r="H500" s="20">
        <v>1500</v>
      </c>
      <c r="I500" s="20">
        <v>4.6</v>
      </c>
      <c r="J500" s="20">
        <v>1500</v>
      </c>
      <c r="K500" t="s" s="19">
        <v>614</v>
      </c>
      <c r="L500" t="s" s="19">
        <v>30</v>
      </c>
      <c r="M500" t="str" s="18" cm="1">
        <f t="array" ref="M500">IF(F500="CASH SALE",K500,F500)</f>
        <v>SHUBHAM RA</v>
      </c>
    </row>
    <row r="501" ht="22.8" customHeight="1">
      <c r="A501" s="14">
        <v>45775</v>
      </c>
      <c r="B501" s="15">
        <v>499</v>
      </c>
      <c r="C501" t="s" s="16">
        <v>105</v>
      </c>
      <c r="D501" s="17"/>
      <c r="E501" s="17"/>
      <c r="F501" t="str" s="18" cm="1">
        <f t="array" ref="F501">_xlfn.TEXTJOIN(" ",1,C501,D501,E501)</f>
        <v>THAKARE THEKEDAR</v>
      </c>
      <c r="G501" t="s" s="19">
        <v>9</v>
      </c>
      <c r="H501" s="20">
        <v>1500</v>
      </c>
      <c r="I501" s="20">
        <v>4.5</v>
      </c>
      <c r="J501" s="20">
        <v>1500</v>
      </c>
      <c r="K501" t="s" s="19">
        <v>38</v>
      </c>
      <c r="L501" t="s" s="19">
        <v>30</v>
      </c>
      <c r="M501" t="str" s="18" cm="1">
        <f t="array" ref="M501">IF(F501="CASH SALE",K501,F501)</f>
        <v>THAKARE THEKEDAR</v>
      </c>
    </row>
    <row r="502" ht="22.8" customHeight="1">
      <c r="A502" s="14">
        <v>45775</v>
      </c>
      <c r="B502" s="15">
        <v>500</v>
      </c>
      <c r="C502" t="s" s="16">
        <v>46</v>
      </c>
      <c r="D502" s="17"/>
      <c r="E502" s="17"/>
      <c r="F502" t="str" s="18" cm="1">
        <f t="array" ref="F502">_xlfn.TEXTJOIN(" ",1,C502,D502,E502)</f>
        <v>ARYAN BUILDERS</v>
      </c>
      <c r="G502" t="s" s="19">
        <v>9</v>
      </c>
      <c r="H502" s="20">
        <v>1500</v>
      </c>
      <c r="I502" s="20">
        <v>4.7</v>
      </c>
      <c r="J502" s="20">
        <v>1500</v>
      </c>
      <c r="K502" t="s" s="19">
        <v>57</v>
      </c>
      <c r="L502" t="s" s="19">
        <v>30</v>
      </c>
      <c r="M502" t="str" s="18" cm="1">
        <f t="array" ref="M502">IF(F502="CASH SALE",K502,F502)</f>
        <v>ARYAN BUILDERS</v>
      </c>
    </row>
    <row r="503" ht="22.8" customHeight="1">
      <c r="A503" s="14">
        <v>45775</v>
      </c>
      <c r="B503" s="15">
        <v>501</v>
      </c>
      <c r="C503" t="s" s="16">
        <v>36</v>
      </c>
      <c r="D503" s="17"/>
      <c r="E503" s="17"/>
      <c r="F503" t="str" s="18" cm="1">
        <f t="array" ref="F503">_xlfn.TEXTJOIN(" ",1,C503,D503,E503)</f>
        <v>ABHAS SINGH</v>
      </c>
      <c r="G503" t="s" s="19">
        <v>9</v>
      </c>
      <c r="H503" s="20">
        <v>1500</v>
      </c>
      <c r="I503" s="20">
        <v>4.5</v>
      </c>
      <c r="J503" s="20">
        <v>1500</v>
      </c>
      <c r="K503" t="s" s="19">
        <v>38</v>
      </c>
      <c r="L503" t="s" s="19">
        <v>42</v>
      </c>
      <c r="M503" t="str" s="18" cm="1">
        <f t="array" ref="M503">IF(F503="CASH SALE",K503,F503)</f>
        <v>ABHAS SINGH</v>
      </c>
    </row>
    <row r="504" ht="22.8" customHeight="1">
      <c r="A504" s="14">
        <v>45775</v>
      </c>
      <c r="B504" s="15">
        <v>502</v>
      </c>
      <c r="C504" t="s" s="16">
        <v>256</v>
      </c>
      <c r="D504" s="17"/>
      <c r="E504" s="17"/>
      <c r="F504" t="str" s="18" cm="1">
        <f t="array" ref="F504">_xlfn.TEXTJOIN(" ",1,C504,D504,E504)</f>
        <v>RAGIT BANDHU TRADERS</v>
      </c>
      <c r="G504" t="s" s="19">
        <v>9</v>
      </c>
      <c r="H504" s="20">
        <v>1500</v>
      </c>
      <c r="I504" s="20">
        <v>4.4</v>
      </c>
      <c r="J504" s="20">
        <v>1500</v>
      </c>
      <c r="K504" t="s" s="19">
        <v>38</v>
      </c>
      <c r="L504" t="s" s="19">
        <v>30</v>
      </c>
      <c r="M504" t="str" s="18" cm="1">
        <f t="array" ref="M504">IF(F504="CASH SALE",K504,F504)</f>
        <v>RAGIT BANDHU TRADERS</v>
      </c>
    </row>
    <row r="505" ht="22.8" customHeight="1">
      <c r="A505" s="14">
        <v>45775</v>
      </c>
      <c r="B505" s="15">
        <v>503</v>
      </c>
      <c r="C505" t="s" s="16">
        <v>596</v>
      </c>
      <c r="D505" s="17"/>
      <c r="E505" s="17"/>
      <c r="F505" t="str" s="18" cm="1">
        <f t="array" ref="F505">_xlfn.TEXTJOIN(" ",1,C505,D505,E505)</f>
        <v>SHUBHAM GONDANE</v>
      </c>
      <c r="G505" t="s" s="19">
        <v>9</v>
      </c>
      <c r="H505" s="20">
        <v>1500</v>
      </c>
      <c r="I505" s="20">
        <v>4.53</v>
      </c>
      <c r="J505" s="20">
        <v>1500</v>
      </c>
      <c r="K505" t="s" s="19">
        <v>361</v>
      </c>
      <c r="L505" t="s" s="19">
        <v>42</v>
      </c>
      <c r="M505" t="str" s="18" cm="1">
        <f t="array" ref="M505">IF(F505="CASH SALE",K505,F505)</f>
        <v>SHUBHAM GONDANE</v>
      </c>
    </row>
    <row r="506" ht="22.8" customHeight="1">
      <c r="A506" s="14">
        <v>45776</v>
      </c>
      <c r="B506" s="15">
        <v>504</v>
      </c>
      <c r="C506" t="s" s="16">
        <v>7</v>
      </c>
      <c r="D506" s="17"/>
      <c r="E506" s="17"/>
      <c r="F506" t="str" s="18" cm="1">
        <f t="array" ref="F506">_xlfn.TEXTJOIN(" ",1,C506,D506,E506)</f>
        <v>CASH SALE</v>
      </c>
      <c r="G506" t="s" s="19">
        <v>9</v>
      </c>
      <c r="H506" s="20">
        <v>2500</v>
      </c>
      <c r="I506" s="20">
        <v>6</v>
      </c>
      <c r="J506" s="20">
        <v>2500</v>
      </c>
      <c r="K506" t="s" s="19">
        <v>616</v>
      </c>
      <c r="L506" t="s" s="19">
        <v>11</v>
      </c>
      <c r="M506" t="str" s="18" cm="1">
        <f t="array" ref="M506">IF(F506="CASH SALE",K506,F506)</f>
        <v>DADAI MAND</v>
      </c>
    </row>
    <row r="507" ht="22.8" customHeight="1">
      <c r="A507" s="14">
        <v>45776</v>
      </c>
      <c r="B507" s="15">
        <v>505</v>
      </c>
      <c r="C507" t="s" s="16">
        <v>23</v>
      </c>
      <c r="D507" s="17"/>
      <c r="E507" s="17"/>
      <c r="F507" t="str" s="18" cm="1">
        <f t="array" ref="F507">_xlfn.TEXTJOIN(" ",1,C507,D507,E507)</f>
        <v>CANCAL D M</v>
      </c>
      <c r="G507" t="s" s="19">
        <v>25</v>
      </c>
      <c r="H507" s="20">
        <v>1</v>
      </c>
      <c r="I507" s="20">
        <v>1</v>
      </c>
      <c r="J507" s="20">
        <v>1</v>
      </c>
      <c r="K507" s="18"/>
      <c r="L507" s="18"/>
      <c r="M507" t="str" s="18" cm="1">
        <f t="array" ref="M507">IF(F507="CASH SALE",K507,F507)</f>
        <v>CANCAL D M</v>
      </c>
    </row>
    <row r="508" ht="22.8" customHeight="1">
      <c r="A508" s="14">
        <v>45776</v>
      </c>
      <c r="B508" s="15">
        <v>506</v>
      </c>
      <c r="C508" t="s" s="16">
        <v>7</v>
      </c>
      <c r="D508" s="17"/>
      <c r="E508" s="17"/>
      <c r="F508" t="str" s="18" cm="1">
        <f t="array" ref="F508">_xlfn.TEXTJOIN(" ",1,C508,D508,E508)</f>
        <v>CASH SALE</v>
      </c>
      <c r="G508" t="s" s="19">
        <v>9</v>
      </c>
      <c r="H508" s="20">
        <v>4000</v>
      </c>
      <c r="I508" s="20">
        <v>6</v>
      </c>
      <c r="J508" s="20">
        <v>4000</v>
      </c>
      <c r="K508" t="s" s="19">
        <v>391</v>
      </c>
      <c r="L508" t="s" s="19">
        <v>16</v>
      </c>
      <c r="M508" t="str" s="18" cm="1">
        <f t="array" ref="M508">IF(F508="CASH SALE",K508,F508)</f>
        <v>PANDIT TIW</v>
      </c>
    </row>
    <row r="509" ht="22.8" customHeight="1">
      <c r="A509" s="14">
        <v>45776</v>
      </c>
      <c r="B509" s="15">
        <v>507</v>
      </c>
      <c r="C509" t="s" s="16">
        <v>7</v>
      </c>
      <c r="D509" s="17"/>
      <c r="E509" s="17"/>
      <c r="F509" t="str" s="18" cm="1">
        <f t="array" ref="F509">_xlfn.TEXTJOIN(" ",1,C509,D509,E509)</f>
        <v>CASH SALE</v>
      </c>
      <c r="G509" t="s" s="19">
        <v>9</v>
      </c>
      <c r="H509" s="20">
        <v>4000</v>
      </c>
      <c r="I509" s="20">
        <v>5.5</v>
      </c>
      <c r="J509" s="20">
        <v>4000</v>
      </c>
      <c r="K509" t="s" s="19">
        <v>453</v>
      </c>
      <c r="L509" t="s" s="19">
        <v>16</v>
      </c>
      <c r="M509" t="str" s="18" cm="1">
        <f t="array" ref="M509">IF(F509="CASH SALE",K509,F509)</f>
        <v>PURSHOTAM</v>
      </c>
    </row>
    <row r="510" ht="22.8" customHeight="1">
      <c r="A510" s="14">
        <v>45776</v>
      </c>
      <c r="B510" s="15">
        <v>508</v>
      </c>
      <c r="C510" t="s" s="16">
        <v>7</v>
      </c>
      <c r="D510" s="17"/>
      <c r="E510" s="17"/>
      <c r="F510" t="str" s="18" cm="1">
        <f t="array" ref="F510">_xlfn.TEXTJOIN(" ",1,C510,D510,E510)</f>
        <v>CASH SALE</v>
      </c>
      <c r="G510" t="s" s="19">
        <v>9</v>
      </c>
      <c r="H510" s="20">
        <v>4000</v>
      </c>
      <c r="I510" s="20">
        <v>6</v>
      </c>
      <c r="J510" s="20">
        <v>4000</v>
      </c>
      <c r="K510" t="s" s="19">
        <v>618</v>
      </c>
      <c r="L510" t="s" s="19">
        <v>21</v>
      </c>
      <c r="M510" t="str" s="18" cm="1">
        <f t="array" ref="M510">IF(F510="CASH SALE",K510,F510)</f>
        <v>PRAMOD JAW</v>
      </c>
    </row>
    <row r="511" ht="23.15" customHeight="1">
      <c r="A511" s="22">
        <v>45776</v>
      </c>
      <c r="B511" s="23">
        <v>509</v>
      </c>
      <c r="C511" t="s" s="24">
        <v>23</v>
      </c>
      <c r="D511" s="25"/>
      <c r="E511" s="25"/>
      <c r="F511" t="str" s="26" cm="1">
        <f t="array" ref="F511">_xlfn.TEXTJOIN(" ",1,C511,D511,E511)</f>
        <v>CANCAL D M</v>
      </c>
      <c r="G511" t="s" s="27">
        <v>25</v>
      </c>
      <c r="H511" s="28">
        <v>1</v>
      </c>
      <c r="I511" s="28">
        <v>1</v>
      </c>
      <c r="J511" s="28">
        <v>1</v>
      </c>
      <c r="K511" s="26"/>
      <c r="L511" s="26"/>
      <c r="M511" t="str" s="26" cm="1">
        <f t="array" ref="M511">IF(F511="CASH SALE",K511,F511)</f>
        <v>CANCAL D M</v>
      </c>
    </row>
    <row r="512" ht="23.15" customHeight="1">
      <c r="A512" s="7">
        <v>45776</v>
      </c>
      <c r="B512" s="8">
        <v>510</v>
      </c>
      <c r="C512" t="s" s="9">
        <v>620</v>
      </c>
      <c r="D512" s="10"/>
      <c r="E512" s="10"/>
      <c r="F512" t="str" s="11" cm="1">
        <f t="array" ref="F512">_xlfn.TEXTJOIN(" ",1,C512,D512,E512)</f>
        <v>MORESHWAR GOVINDWAR</v>
      </c>
      <c r="G512" t="s" s="12">
        <v>9</v>
      </c>
      <c r="H512" s="13">
        <v>1000</v>
      </c>
      <c r="I512" s="13">
        <v>5</v>
      </c>
      <c r="J512" s="13">
        <v>1000</v>
      </c>
      <c r="K512" t="s" s="12">
        <v>622</v>
      </c>
      <c r="L512" t="s" s="12">
        <v>30</v>
      </c>
      <c r="M512" t="str" s="11" cm="1">
        <f t="array" ref="M512">IF(F512="CASH SALE",K512,F512)</f>
        <v>MORESHWAR GOVINDWAR</v>
      </c>
    </row>
    <row r="513" ht="22.8" customHeight="1">
      <c r="A513" s="14">
        <v>45776</v>
      </c>
      <c r="B513" s="15">
        <v>511</v>
      </c>
      <c r="C513" t="s" s="16">
        <v>563</v>
      </c>
      <c r="D513" s="17"/>
      <c r="E513" s="17"/>
      <c r="F513" t="str" s="18" cm="1">
        <f t="array" ref="F513">_xlfn.TEXTJOIN(" ",1,C513,D513,E513)</f>
        <v>SAIYYAD HANIF</v>
      </c>
      <c r="G513" t="s" s="19">
        <v>9</v>
      </c>
      <c r="H513" s="20">
        <v>1500</v>
      </c>
      <c r="I513" s="20">
        <v>4.5</v>
      </c>
      <c r="J513" s="20">
        <v>1500</v>
      </c>
      <c r="K513" t="s" s="19">
        <v>69</v>
      </c>
      <c r="L513" t="s" s="19">
        <v>30</v>
      </c>
      <c r="M513" t="str" s="18" cm="1">
        <f t="array" ref="M513">IF(F513="CASH SALE",K513,F513)</f>
        <v>SAIYYAD HANIF</v>
      </c>
    </row>
    <row r="514" ht="22.8" customHeight="1">
      <c r="A514" s="14">
        <v>45776</v>
      </c>
      <c r="B514" s="15">
        <v>512</v>
      </c>
      <c r="C514" t="s" s="16">
        <v>163</v>
      </c>
      <c r="D514" s="17"/>
      <c r="E514" s="17"/>
      <c r="F514" t="str" s="18" cm="1">
        <f t="array" ref="F514">_xlfn.TEXTJOIN(" ",1,C514,D514,E514)</f>
        <v>KISHOR AATRAM</v>
      </c>
      <c r="G514" t="s" s="19">
        <v>9</v>
      </c>
      <c r="H514" s="20">
        <v>1500</v>
      </c>
      <c r="I514" s="20">
        <v>4.4</v>
      </c>
      <c r="J514" s="20">
        <v>1500</v>
      </c>
      <c r="K514" t="s" s="19">
        <v>386</v>
      </c>
      <c r="L514" t="s" s="19">
        <v>42</v>
      </c>
      <c r="M514" t="str" s="18" cm="1">
        <f t="array" ref="M514">IF(F514="CASH SALE",K514,F514)</f>
        <v>KISHOR AATRAM</v>
      </c>
    </row>
    <row r="515" ht="22.8" customHeight="1">
      <c r="A515" s="14">
        <v>45776</v>
      </c>
      <c r="B515" s="15">
        <v>513</v>
      </c>
      <c r="C515" t="s" s="16">
        <v>113</v>
      </c>
      <c r="D515" s="17"/>
      <c r="E515" s="17"/>
      <c r="F515" t="str" s="18" cm="1">
        <f t="array" ref="F515">_xlfn.TEXTJOIN(" ",1,C515,D515,E515)</f>
        <v>BHUPESH REGUNDWAR</v>
      </c>
      <c r="G515" t="s" s="19">
        <v>9</v>
      </c>
      <c r="H515" s="20">
        <v>1500</v>
      </c>
      <c r="I515" s="20">
        <v>4.67</v>
      </c>
      <c r="J515" s="20">
        <v>1500</v>
      </c>
      <c r="K515" t="s" s="19">
        <v>575</v>
      </c>
      <c r="L515" t="s" s="19">
        <v>42</v>
      </c>
      <c r="M515" t="str" s="18" cm="1">
        <f t="array" ref="M515">IF(F515="CASH SALE",K515,F515)</f>
        <v>BHUPESH REGUNDWAR</v>
      </c>
    </row>
    <row r="516" ht="22.8" customHeight="1">
      <c r="A516" s="14">
        <v>45776</v>
      </c>
      <c r="B516" s="15">
        <v>514</v>
      </c>
      <c r="C516" t="s" s="16">
        <v>598</v>
      </c>
      <c r="D516" s="17"/>
      <c r="E516" s="17"/>
      <c r="F516" t="str" s="18" cm="1">
        <f t="array" ref="F516">_xlfn.TEXTJOIN(" ",1,C516,D516,E516)</f>
        <v>SHUBHAM GAOTURE</v>
      </c>
      <c r="G516" t="s" s="19">
        <v>9</v>
      </c>
      <c r="H516" s="20">
        <v>1500</v>
      </c>
      <c r="I516" s="20">
        <v>4.5</v>
      </c>
      <c r="J516" s="20">
        <v>1500</v>
      </c>
      <c r="K516" t="s" s="19">
        <v>623</v>
      </c>
      <c r="L516" t="s" s="19">
        <v>42</v>
      </c>
      <c r="M516" t="str" s="18" cm="1">
        <f t="array" ref="M516">IF(F516="CASH SALE",K516,F516)</f>
        <v>SHUBHAM GAOTURE</v>
      </c>
    </row>
    <row r="517" ht="22.8" customHeight="1">
      <c r="A517" s="14">
        <v>45776</v>
      </c>
      <c r="B517" s="15">
        <v>515</v>
      </c>
      <c r="C517" t="s" s="16">
        <v>36</v>
      </c>
      <c r="D517" s="17"/>
      <c r="E517" s="17"/>
      <c r="F517" t="str" s="18" cm="1">
        <f t="array" ref="F517">_xlfn.TEXTJOIN(" ",1,C517,D517,E517)</f>
        <v>ABHAS SINGH</v>
      </c>
      <c r="G517" t="s" s="19">
        <v>9</v>
      </c>
      <c r="H517" s="20">
        <v>1500</v>
      </c>
      <c r="I517" s="20">
        <v>4.5</v>
      </c>
      <c r="J517" s="20">
        <v>1500</v>
      </c>
      <c r="K517" t="s" s="19">
        <v>38</v>
      </c>
      <c r="L517" t="s" s="19">
        <v>30</v>
      </c>
      <c r="M517" t="str" s="18" cm="1">
        <f t="array" ref="M517">IF(F517="CASH SALE",K517,F517)</f>
        <v>ABHAS SINGH</v>
      </c>
    </row>
    <row r="518" ht="22.8" customHeight="1">
      <c r="A518" s="14">
        <v>45776</v>
      </c>
      <c r="B518" s="15">
        <v>516</v>
      </c>
      <c r="C518" t="s" s="16">
        <v>171</v>
      </c>
      <c r="D518" s="17"/>
      <c r="E518" s="17"/>
      <c r="F518" t="str" s="18" cm="1">
        <f t="array" ref="F518">_xlfn.TEXTJOIN(" ",1,C518,D518,E518)</f>
        <v>SACHIN LINGOJWAR</v>
      </c>
      <c r="G518" t="s" s="19">
        <v>9</v>
      </c>
      <c r="H518" s="20">
        <v>1500</v>
      </c>
      <c r="I518" s="20">
        <v>4.7</v>
      </c>
      <c r="J518" s="20">
        <v>1500</v>
      </c>
      <c r="K518" t="s" s="19">
        <v>604</v>
      </c>
      <c r="L518" t="s" s="19">
        <v>42</v>
      </c>
      <c r="M518" t="str" s="18" cm="1">
        <f t="array" ref="M518">IF(F518="CASH SALE",K518,F518)</f>
        <v>SACHIN LINGOJWAR</v>
      </c>
    </row>
    <row r="519" ht="22.8" customHeight="1">
      <c r="A519" s="14">
        <v>45776</v>
      </c>
      <c r="B519" s="15">
        <v>517</v>
      </c>
      <c r="C519" t="s" s="16">
        <v>7</v>
      </c>
      <c r="D519" s="17"/>
      <c r="E519" s="17"/>
      <c r="F519" t="str" s="18" cm="1">
        <f t="array" ref="F519">_xlfn.TEXTJOIN(" ",1,C519,D519,E519)</f>
        <v>CASH SALE</v>
      </c>
      <c r="G519" t="s" s="19">
        <v>9</v>
      </c>
      <c r="H519" s="20">
        <v>1500</v>
      </c>
      <c r="I519" s="20">
        <v>4.6</v>
      </c>
      <c r="J519" s="20">
        <v>1500</v>
      </c>
      <c r="K519" t="s" s="19">
        <v>614</v>
      </c>
      <c r="L519" t="s" s="19">
        <v>30</v>
      </c>
      <c r="M519" t="str" s="18" cm="1">
        <f t="array" ref="M519">IF(F519="CASH SALE",K519,F519)</f>
        <v>SHUBHAM RA</v>
      </c>
    </row>
    <row r="520" ht="22.8" customHeight="1">
      <c r="A520" s="14">
        <v>45776</v>
      </c>
      <c r="B520" s="15">
        <v>518</v>
      </c>
      <c r="C520" t="s" s="16">
        <v>296</v>
      </c>
      <c r="D520" s="17"/>
      <c r="E520" s="17"/>
      <c r="F520" t="str" s="18" cm="1">
        <f t="array" ref="F520">_xlfn.TEXTJOIN(" ",1,C520,D520,E520)</f>
        <v>PRAMOD PUNYAPAWAR</v>
      </c>
      <c r="G520" t="s" s="19">
        <v>9</v>
      </c>
      <c r="H520" s="20">
        <v>1500</v>
      </c>
      <c r="I520" s="20">
        <v>4.4</v>
      </c>
      <c r="J520" s="20">
        <v>1500</v>
      </c>
      <c r="K520" t="s" s="19">
        <v>238</v>
      </c>
      <c r="L520" t="s" s="19">
        <v>30</v>
      </c>
      <c r="M520" t="str" s="18" cm="1">
        <f t="array" ref="M520">IF(F520="CASH SALE",K520,F520)</f>
        <v>PRAMOD PUNYAPAWAR</v>
      </c>
    </row>
    <row r="521" ht="22.8" customHeight="1">
      <c r="A521" s="14">
        <v>45777</v>
      </c>
      <c r="B521" s="15">
        <v>519</v>
      </c>
      <c r="C521" t="s" s="16">
        <v>7</v>
      </c>
      <c r="D521" s="17"/>
      <c r="E521" s="17"/>
      <c r="F521" t="str" s="18" cm="1">
        <f t="array" ref="F521">_xlfn.TEXTJOIN(" ",1,C521,D521,E521)</f>
        <v>CASH SALE</v>
      </c>
      <c r="G521" t="s" s="19">
        <v>9</v>
      </c>
      <c r="H521" s="20">
        <v>1500</v>
      </c>
      <c r="I521" s="20">
        <v>4.7</v>
      </c>
      <c r="J521" s="20">
        <v>1500</v>
      </c>
      <c r="K521" t="s" s="19">
        <v>624</v>
      </c>
      <c r="L521" t="s" s="19">
        <v>42</v>
      </c>
      <c r="M521" t="str" s="18" cm="1">
        <f t="array" ref="M521">IF(F521="CASH SALE",K521,F521)</f>
        <v>BANDU GODB</v>
      </c>
    </row>
    <row r="522" ht="22.8" customHeight="1">
      <c r="A522" s="14">
        <v>45777</v>
      </c>
      <c r="B522" s="15">
        <v>520</v>
      </c>
      <c r="C522" t="s" s="16">
        <v>7</v>
      </c>
      <c r="D522" s="17"/>
      <c r="E522" s="17"/>
      <c r="F522" t="str" s="18" cm="1">
        <f t="array" ref="F522">_xlfn.TEXTJOIN(" ",1,C522,D522,E522)</f>
        <v>CASH SALE</v>
      </c>
      <c r="G522" t="s" s="19">
        <v>9</v>
      </c>
      <c r="H522" s="20">
        <v>1500</v>
      </c>
      <c r="I522" s="20">
        <v>4.6</v>
      </c>
      <c r="J522" s="20">
        <v>1500</v>
      </c>
      <c r="K522" t="s" s="19">
        <v>626</v>
      </c>
      <c r="L522" t="s" s="19">
        <v>42</v>
      </c>
      <c r="M522" t="str" s="18" cm="1">
        <f t="array" ref="M522">IF(F522="CASH SALE",K522,F522)</f>
        <v>SUNYY BETW</v>
      </c>
    </row>
    <row r="523" ht="22.8" customHeight="1">
      <c r="A523" s="14">
        <v>45777</v>
      </c>
      <c r="B523" s="15">
        <v>521</v>
      </c>
      <c r="C523" t="s" s="16">
        <v>7</v>
      </c>
      <c r="D523" s="17"/>
      <c r="E523" s="17"/>
      <c r="F523" t="str" s="18" cm="1">
        <f t="array" ref="F523">_xlfn.TEXTJOIN(" ",1,C523,D523,E523)</f>
        <v>CASH SALE</v>
      </c>
      <c r="G523" t="s" s="19">
        <v>9</v>
      </c>
      <c r="H523" s="20">
        <v>1500</v>
      </c>
      <c r="I523" s="20">
        <v>4.7</v>
      </c>
      <c r="J523" s="20">
        <v>1500</v>
      </c>
      <c r="K523" t="s" s="19">
        <v>495</v>
      </c>
      <c r="L523" t="s" s="19">
        <v>30</v>
      </c>
      <c r="M523" t="str" s="18" cm="1">
        <f t="array" ref="M523">IF(F523="CASH SALE",K523,F523)</f>
        <v>VIJAY WASE</v>
      </c>
    </row>
    <row r="524" ht="22.8" customHeight="1">
      <c r="A524" s="14">
        <v>45777</v>
      </c>
      <c r="B524" s="15">
        <v>522</v>
      </c>
      <c r="C524" t="s" s="16">
        <v>23</v>
      </c>
      <c r="D524" s="17"/>
      <c r="E524" s="17"/>
      <c r="F524" t="str" s="18" cm="1">
        <f t="array" ref="F524">_xlfn.TEXTJOIN(" ",1,C524,D524,E524)</f>
        <v>CANCAL D M</v>
      </c>
      <c r="G524" t="s" s="19">
        <v>25</v>
      </c>
      <c r="H524" s="20">
        <v>1</v>
      </c>
      <c r="I524" s="20">
        <v>1</v>
      </c>
      <c r="J524" s="20">
        <v>1</v>
      </c>
      <c r="K524" s="18"/>
      <c r="L524" s="18"/>
      <c r="M524" t="str" s="18" cm="1">
        <f t="array" ref="M524">IF(F524="CASH SALE",K524,F524)</f>
        <v>CANCAL D M</v>
      </c>
    </row>
    <row r="525" ht="22.8" customHeight="1">
      <c r="A525" s="14">
        <v>45777</v>
      </c>
      <c r="B525" s="15">
        <v>523</v>
      </c>
      <c r="C525" t="s" s="16">
        <v>7</v>
      </c>
      <c r="D525" s="17"/>
      <c r="E525" s="17"/>
      <c r="F525" t="str" s="18" cm="1">
        <f t="array" ref="F525">_xlfn.TEXTJOIN(" ",1,C525,D525,E525)</f>
        <v>CASH SALE</v>
      </c>
      <c r="G525" t="s" s="19">
        <v>9</v>
      </c>
      <c r="H525" s="20">
        <v>1500</v>
      </c>
      <c r="I525" s="20">
        <v>4.8</v>
      </c>
      <c r="J525" s="20">
        <v>1500</v>
      </c>
      <c r="K525" t="s" s="19">
        <v>628</v>
      </c>
      <c r="L525" t="s" s="19">
        <v>35</v>
      </c>
      <c r="M525" t="str" s="18" cm="1">
        <f t="array" ref="M525">IF(F525="CASH SALE",K525,F525)</f>
        <v>PRATHAM TI</v>
      </c>
    </row>
    <row r="526" ht="22.8" customHeight="1">
      <c r="A526" s="14">
        <v>45777</v>
      </c>
      <c r="B526" s="15">
        <v>524</v>
      </c>
      <c r="C526" t="s" s="16">
        <v>630</v>
      </c>
      <c r="D526" s="17"/>
      <c r="E526" s="17"/>
      <c r="F526" t="str" s="18" cm="1">
        <f t="array" ref="F526">_xlfn.TEXTJOIN(" ",1,C526,D526,E526)</f>
        <v>ABHAY AATRAM</v>
      </c>
      <c r="G526" t="s" s="19">
        <v>9</v>
      </c>
      <c r="H526" s="20">
        <v>1500</v>
      </c>
      <c r="I526" s="20">
        <v>4.4</v>
      </c>
      <c r="J526" s="20">
        <v>1500</v>
      </c>
      <c r="K526" t="s" s="19">
        <v>632</v>
      </c>
      <c r="L526" t="s" s="19">
        <v>35</v>
      </c>
      <c r="M526" t="str" s="18" cm="1">
        <f t="array" ref="M526">IF(F526="CASH SALE",K526,F526)</f>
        <v>ABHAY AATRAM</v>
      </c>
    </row>
    <row r="527" ht="22.8" customHeight="1">
      <c r="A527" s="14">
        <v>45777</v>
      </c>
      <c r="B527" s="15">
        <v>525</v>
      </c>
      <c r="C527" t="s" s="16">
        <v>7</v>
      </c>
      <c r="D527" s="17"/>
      <c r="E527" s="17"/>
      <c r="F527" t="str" s="18" cm="1">
        <f t="array" ref="F527">_xlfn.TEXTJOIN(" ",1,C527,D527,E527)</f>
        <v>CASH SALE</v>
      </c>
      <c r="G527" t="s" s="19">
        <v>9</v>
      </c>
      <c r="H527" s="20">
        <v>4000</v>
      </c>
      <c r="I527" s="20">
        <v>6</v>
      </c>
      <c r="J527" s="20">
        <v>4000</v>
      </c>
      <c r="K527" t="s" s="19">
        <v>633</v>
      </c>
      <c r="L527" t="s" s="19">
        <v>21</v>
      </c>
      <c r="M527" t="str" s="18" cm="1">
        <f t="array" ref="M527">IF(F527="CASH SALE",K527,F527)</f>
        <v>KARADBHANJ</v>
      </c>
    </row>
    <row r="528" ht="22.8" customHeight="1">
      <c r="A528" s="14">
        <v>45777</v>
      </c>
      <c r="B528" s="15">
        <v>526</v>
      </c>
      <c r="C528" t="s" s="16">
        <v>7</v>
      </c>
      <c r="D528" s="17"/>
      <c r="E528" s="17"/>
      <c r="F528" t="str" s="18" cm="1">
        <f t="array" ref="F528">_xlfn.TEXTJOIN(" ",1,C528,D528,E528)</f>
        <v>CASH SALE</v>
      </c>
      <c r="G528" t="s" s="19">
        <v>9</v>
      </c>
      <c r="H528" s="20">
        <v>4000</v>
      </c>
      <c r="I528" s="20">
        <v>6.25</v>
      </c>
      <c r="J528" s="20">
        <v>4000</v>
      </c>
      <c r="K528" t="s" s="19">
        <v>635</v>
      </c>
      <c r="L528" t="s" s="19">
        <v>16</v>
      </c>
      <c r="M528" t="str" s="18" cm="1">
        <f t="array" ref="M528">IF(F528="CASH SALE",K528,F528)</f>
        <v>NILESH KAL</v>
      </c>
    </row>
    <row r="529" ht="22.8" customHeight="1">
      <c r="A529" s="14">
        <v>45777</v>
      </c>
      <c r="B529" s="15">
        <v>527</v>
      </c>
      <c r="C529" t="s" s="16">
        <v>99</v>
      </c>
      <c r="D529" s="17"/>
      <c r="E529" s="17"/>
      <c r="F529" t="str" s="18" cm="1">
        <f t="array" ref="F529">_xlfn.TEXTJOIN(" ",1,C529,D529,E529)</f>
        <v>GAURAO NANDURKAR</v>
      </c>
      <c r="G529" t="s" s="19">
        <v>9</v>
      </c>
      <c r="H529" s="20">
        <v>1500</v>
      </c>
      <c r="I529" s="20">
        <v>4.5</v>
      </c>
      <c r="J529" s="20">
        <v>1500</v>
      </c>
      <c r="K529" t="s" s="19">
        <v>173</v>
      </c>
      <c r="L529" t="s" s="19">
        <v>30</v>
      </c>
      <c r="M529" t="str" s="18" cm="1">
        <f t="array" ref="M529">IF(F529="CASH SALE",K529,F529)</f>
        <v>GAURAO NANDURKAR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